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harshitag/Documents/Vibe Coding/Minor Projects/Collection Management/"/>
    </mc:Choice>
  </mc:AlternateContent>
  <xr:revisionPtr revIDLastSave="0" documentId="13_ncr:1_{A7EFD4B8-556A-5541-AD60-C00AEE911D20}" xr6:coauthVersionLast="47" xr6:coauthVersionMax="47" xr10:uidLastSave="{00000000-0000-0000-0000-000000000000}"/>
  <bookViews>
    <workbookView xWindow="0" yWindow="660" windowWidth="30240" windowHeight="18980" activeTab="1" xr2:uid="{00000000-000D-0000-FFFF-FFFF00000000}"/>
  </bookViews>
  <sheets>
    <sheet name="How to Use" sheetId="1" r:id="rId1"/>
    <sheet name="Feature Checklist" sheetId="2" r:id="rId2"/>
    <sheet name="Phase 1 Summary" sheetId="3" r:id="rId3"/>
  </sheets>
  <definedNames>
    <definedName name="_xlnm._FilterDatabase" localSheetId="1" hidden="1">'Feature Checklist'!$A$1:$M$52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3" l="1"/>
  <c r="C29" i="3"/>
  <c r="D28" i="3"/>
  <c r="C28" i="3"/>
  <c r="D27" i="3"/>
  <c r="C27" i="3"/>
  <c r="D26" i="3"/>
  <c r="C26" i="3"/>
  <c r="D25" i="3"/>
  <c r="C25" i="3"/>
  <c r="D24" i="3"/>
  <c r="C24" i="3"/>
  <c r="D23" i="3"/>
  <c r="C23" i="3"/>
  <c r="D22" i="3"/>
  <c r="C22" i="3"/>
  <c r="D21" i="3"/>
  <c r="C21" i="3"/>
  <c r="D17" i="3"/>
  <c r="D16" i="3"/>
  <c r="D15" i="3"/>
  <c r="D14" i="3"/>
  <c r="D13" i="3"/>
  <c r="D10" i="3"/>
  <c r="D9" i="3"/>
  <c r="D8" i="3"/>
  <c r="D5" i="3"/>
</calcChain>
</file>

<file path=xl/sharedStrings.xml><?xml version="1.0" encoding="utf-8"?>
<sst xmlns="http://schemas.openxmlformats.org/spreadsheetml/2006/main" count="636" uniqueCount="268">
  <si>
    <t>ARC Collections Intelligence — Feature Checklist</t>
  </si>
  <si>
    <t>Companion to Tekion_ARC_Collections_PRD_v1.1.docx  ·  Use this to scope and approve the Phase 1 release.</t>
  </si>
  <si>
    <t>Purpose</t>
  </si>
  <si>
    <t>This workbook lists every feature described in the PRD (v1.1), grouped by module. For each feature it shows the PRD's suggested rollout phase, a rough effort size, an overall priority, and a recommended Phase 1 call. You make the final decision in the 'P1 Decision' column, then use the 'Phase 1 Summary' tab to see what has been approved.</t>
  </si>
  <si>
    <t>How to use it</t>
  </si>
  <si>
    <t>1.  Open the 'Feature Checklist' tab. Each row is one feature. Use the column filters (row 1) to sort by Module, Phase, or Recommendation.</t>
  </si>
  <si>
    <t>2.  Review the 'P1 Recommended' column (my suggested Phase 1 scope): Yes = ship in Phase 1, Consider = optional / partial, No = later phase.</t>
  </si>
  <si>
    <t>3.  Record your decision in the 'P1 Decision' column using the dropdown (Approved for Phase 1 / Deferred / Out of scope / Needs discussion).</t>
  </si>
  <si>
    <t>4.  Fill 'Owner' and 'Notes' as needed. The 'Phase 1 Summary' tab updates automatically from your decisions.</t>
  </si>
  <si>
    <t>Column guide</t>
  </si>
  <si>
    <t>Ref</t>
  </si>
  <si>
    <t>PRD section reference for the feature.</t>
  </si>
  <si>
    <t>Module</t>
  </si>
  <si>
    <t>Which of the six product modules the feature belongs to.</t>
  </si>
  <si>
    <t>Origin</t>
  </si>
  <si>
    <t>'v1.0' = in the original PRD · 'New v1.1' = added in the expansion · 'Exists today' = already live in the current platform.</t>
  </si>
  <si>
    <t>PRD Phase</t>
  </si>
  <si>
    <t>Rollout phase suggested by the PRD (Section 9). Phase 4 items are the long-term horizon.</t>
  </si>
  <si>
    <t>Effort</t>
  </si>
  <si>
    <t>Rough build size — S (small) / M (medium) / L (large). Directional, not an estimate.</t>
  </si>
  <si>
    <t>Priority</t>
  </si>
  <si>
    <t>Overall product priority: Must / Should / Could.</t>
  </si>
  <si>
    <t>P1 Recommended</t>
  </si>
  <si>
    <t>My suggested Phase 1 scope: Yes / Consider / No.</t>
  </si>
  <si>
    <t>P1 Decision</t>
  </si>
  <si>
    <t>YOUR call — the editable column. Dropdown provided.</t>
  </si>
  <si>
    <t>Dependencies</t>
  </si>
  <si>
    <t>What the feature needs before it can ship.</t>
  </si>
  <si>
    <t>Editable columns are shaded yellow in the checklist. Example — set 'P1 Decision' to 'Approved for Phase 1' for the core collections features, then check the summary tab.</t>
  </si>
  <si>
    <t>Excluded from this scope (tracked separately)</t>
  </si>
  <si>
    <t>• Disputes — no system-driven dispute flow (customer raise / dealership acknowledge) exists today; handled as a separate task.
• Customer chat / messaging — treated as a separate task, same as disputes.
The business portal (invoice view + payment via gateway) already exists and is marked 'Exists today' in the checklist.</t>
  </si>
  <si>
    <t>Feature</t>
  </si>
  <si>
    <t>Description</t>
  </si>
  <si>
    <t>Owner</t>
  </si>
  <si>
    <t>Notes</t>
  </si>
  <si>
    <t>4A.1</t>
  </si>
  <si>
    <t>M1 · Collections Engine</t>
  </si>
  <si>
    <t>AI-ranked collector workqueue</t>
  </si>
  <si>
    <t>Daily ranked worklist; P1–P6 priority tiers; system-recommended action per invoice.</t>
  </si>
  <si>
    <t>v1.0</t>
  </si>
  <si>
    <t>Phase 1</t>
  </si>
  <si>
    <t>M</t>
  </si>
  <si>
    <t>Must</t>
  </si>
  <si>
    <t>Yes</t>
  </si>
  <si>
    <t>TBD</t>
  </si>
  <si>
    <t>Invoice sync; priority scoring</t>
  </si>
  <si>
    <t>Priority scoring engine (rule-based)</t>
  </si>
  <si>
    <t>Scores by days-past-due, amount, contact recency, and broken-PTP history.</t>
  </si>
  <si>
    <t>Invoice + payment history</t>
  </si>
  <si>
    <t>4A.2</t>
  </si>
  <si>
    <t>Automated dunning sequences (email)</t>
  </si>
  <si>
    <t>Configurable multi-step reminder sequences triggered by invoice aging.</t>
  </si>
  <si>
    <t>L</t>
  </si>
  <si>
    <t>Email delivery; templates</t>
  </si>
  <si>
    <t>Dunning suppression rules</t>
  </si>
  <si>
    <t>Auto-pause sequences on active PTP, offer-in-checkout, or VIP flag.</t>
  </si>
  <si>
    <t>PTP module</t>
  </si>
  <si>
    <t>4A.4</t>
  </si>
  <si>
    <t>Promise-to-pay tracker</t>
  </si>
  <si>
    <t>Capture PTPs; suppress dunning; broken-PTP alerts; installment PTPs.</t>
  </si>
  <si>
    <t>Workqueue</t>
  </si>
  <si>
    <t>4A.5</t>
  </si>
  <si>
    <t>Cash application — auto-match</t>
  </si>
  <si>
    <t>Auto-apply payments matching amount + customer + date; post to ARC GL.</t>
  </si>
  <si>
    <t>ARC write-back</t>
  </si>
  <si>
    <t>Cash application — remittance OCR / short-pay</t>
  </si>
  <si>
    <t>OCR remittance parsing; short-pay exceptions; unapplied-cash queue.</t>
  </si>
  <si>
    <t>Phase 2</t>
  </si>
  <si>
    <t>Should</t>
  </si>
  <si>
    <t>No</t>
  </si>
  <si>
    <t>OCR service</t>
  </si>
  <si>
    <t>4A.6</t>
  </si>
  <si>
    <t>Deductions &amp; short-pay management</t>
  </si>
  <si>
    <t>Identify short-pays where a buyer pays less than invoiced; AI valid/invalid coding; recovery task or auto write-off.</t>
  </si>
  <si>
    <t>New v1.1</t>
  </si>
  <si>
    <t>Phase 3</t>
  </si>
  <si>
    <t>Cash application</t>
  </si>
  <si>
    <t>4A.7</t>
  </si>
  <si>
    <t>Late fees, interest &amp; finance charges</t>
  </si>
  <si>
    <t>Configurable charge rules; grace/waivers; scheduled assessment; posts to ARC.</t>
  </si>
  <si>
    <t>Could</t>
  </si>
  <si>
    <t>Compliance (disclosures)</t>
  </si>
  <si>
    <t>4A.8</t>
  </si>
  <si>
    <t>Payment plans &amp; structured arrangements</t>
  </si>
  <si>
    <t>Multi-installment plans; auto-scheduling; broken-plan escalation; ACH auto-pay.</t>
  </si>
  <si>
    <t>Consider</t>
  </si>
  <si>
    <t>PTP; payment gateway</t>
  </si>
  <si>
    <t>4A.9</t>
  </si>
  <si>
    <t>Escalation, write-off, agency &amp; legal</t>
  </si>
  <si>
    <t>Escalation ladder; write-off approvals; agency placement; legal referral.</t>
  </si>
  <si>
    <t>Approvals; ARC GL</t>
  </si>
  <si>
    <t>4A.10</t>
  </si>
  <si>
    <t>Customer statements &amp; invoice presentment</t>
  </si>
  <si>
    <t>Periodic + consolidated statements; portal retrieval; delivery tracking.</t>
  </si>
  <si>
    <t>Statement generation</t>
  </si>
  <si>
    <t>Customers can already view invoices in the business portal; net-new = periodic + consolidated statements.</t>
  </si>
  <si>
    <t>4A.11</t>
  </si>
  <si>
    <t>Omnichannel communication (SMS/WhatsApp/portal/phone)</t>
  </si>
  <si>
    <t>Beyond email: SMS, WhatsApp, portal notifications, and call talking points for outbound reminders (one-way).</t>
  </si>
  <si>
    <t>Consent (M5); channel providers</t>
  </si>
  <si>
    <t>4B.1</t>
  </si>
  <si>
    <t>M2 · Early Payment Network</t>
  </si>
  <si>
    <t>Early payment discount engine (fixed + sliding)</t>
  </si>
  <si>
    <t>Time-limited discount offers; fixed % and sliding-scale models.</t>
  </si>
  <si>
    <t>Portal + gateway already live</t>
  </si>
  <si>
    <t>Portal + payment gateway already exist, lowering build risk.</t>
  </si>
  <si>
    <t>AI-recommended discount</t>
  </si>
  <si>
    <t>Calculates minimum discount likely to trigger acceptance per invoice/buyer.</t>
  </si>
  <si>
    <t>Payment DNA (ML)</t>
  </si>
  <si>
    <t>4B.2</t>
  </si>
  <si>
    <t>Customer Payment DNA grading (rule-based)</t>
  </si>
  <si>
    <t>Grade accounts Easy→Risky from payment history; feeds workqueue + eligibility.</t>
  </si>
  <si>
    <t>Payment history</t>
  </si>
  <si>
    <t>Customer Payment DNA grading (ML model)</t>
  </si>
  <si>
    <t>Machine-learned behavioural grading and payment-cycle detection.</t>
  </si>
  <si>
    <t>Cross-dealer data; ML platform</t>
  </si>
  <si>
    <t>4B.3</t>
  </si>
  <si>
    <t>Smart liquidity offers (targeted)</t>
  </si>
  <si>
    <t>AI shortlist of reliable high-balance buyers for targeted discounts; enforced eligibility.</t>
  </si>
  <si>
    <t>Payment DNA; offers engine</t>
  </si>
  <si>
    <t>Early-payment offer layer on business portal</t>
  </si>
  <si>
    <t>Offer dashboard, savings calculator, and multi-invoice discount checkout ON TOP OF the existing business portal.</t>
  </si>
  <si>
    <t>Base portal already live</t>
  </si>
  <si>
    <t>Base business portal already live; this row is only the early-payment discount layer on top of it.</t>
  </si>
  <si>
    <t>4B.-</t>
  </si>
  <si>
    <t>Campaign management (bulk offers)</t>
  </si>
  <si>
    <t>CFO sets blanket discount across eligible invoices for a date range.</t>
  </si>
  <si>
    <t>Offers engine</t>
  </si>
  <si>
    <t>5.-</t>
  </si>
  <si>
    <t>Business portal — invoice view + payment gateway</t>
  </si>
  <si>
    <t>Customers view invoices and pay via the payment gateway.</t>
  </si>
  <si>
    <t>Exists today</t>
  </si>
  <si>
    <t>Live</t>
  </si>
  <si>
    <t>-</t>
  </si>
  <si>
    <t>Already in place</t>
  </si>
  <si>
    <t>Already LIVE in the current platform — no build. Prerequisite for the early-payment layer.</t>
  </si>
  <si>
    <t>4C.1</t>
  </si>
  <si>
    <t>M3 · Credit Management</t>
  </si>
  <si>
    <t>Credit application &amp; onboarding</t>
  </si>
  <si>
    <t>Digital credit app; bureau checks; AI decisioning; terms + limit assignment.</t>
  </si>
  <si>
    <t>Bureau integration</t>
  </si>
  <si>
    <t>4C.2</t>
  </si>
  <si>
    <t>Credit scoring &amp; limit setting</t>
  </si>
  <si>
    <t>Blended internal+external score; limit recommendation; live exposure view.</t>
  </si>
  <si>
    <t>Bureau; payment history</t>
  </si>
  <si>
    <t>4C.3</t>
  </si>
  <si>
    <t>Ongoing credit review &amp; credit holds</t>
  </si>
  <si>
    <t>Periodic re-review; dynamic holds; early-warning signals; blocks new orders in ARC.</t>
  </si>
  <si>
    <t>ARC order block</t>
  </si>
  <si>
    <t>4D.1</t>
  </si>
  <si>
    <t>M4 · AI Intelligence Layer</t>
  </si>
  <si>
    <t>AI Collection Command Center / Daily Brief</t>
  </si>
  <si>
    <t>AI daily brief; smart clickable KPIs; priority worklist; health score.</t>
  </si>
  <si>
    <t>Risk engine (prototype exists)</t>
  </si>
  <si>
    <t>4D.2</t>
  </si>
  <si>
    <t>AI Copilot (conversational)</t>
  </si>
  <si>
    <t>Chat assistant over live AR data; summary+evidence+confidence+next action.</t>
  </si>
  <si>
    <t>Tekion AI platform</t>
  </si>
  <si>
    <t>Internal collector assistant, not customer-facing chat. Confirm scope.</t>
  </si>
  <si>
    <t>4D.3</t>
  </si>
  <si>
    <t>Explainable risk engine (rule-based, top-3 factors)</t>
  </si>
  <si>
    <t>Every score shows its top-3 plain-language drivers.</t>
  </si>
  <si>
    <t>Priority scoring</t>
  </si>
  <si>
    <t>Explainable risk engine (ML)</t>
  </si>
  <si>
    <t>Learned scoring with feedback loop from collector outcomes.</t>
  </si>
  <si>
    <t>ML platform</t>
  </si>
  <si>
    <t>4D.4</t>
  </si>
  <si>
    <t>Predictive insights (default / broken-PTP / cash)</t>
  </si>
  <si>
    <t>Default probability; broken-promise prediction; cash + DSO forecast; future aging.</t>
  </si>
  <si>
    <t>ML platform; history</t>
  </si>
  <si>
    <t>4D.5</t>
  </si>
  <si>
    <t>Intelligent communication strategy</t>
  </si>
  <si>
    <t>AI tone + channel selection with stated rationale; outcome prediction.</t>
  </si>
  <si>
    <t>Omnichannel; risk engine</t>
  </si>
  <si>
    <t>4E.1</t>
  </si>
  <si>
    <t>M5 · Compliance &amp; Audit</t>
  </si>
  <si>
    <t>Communication compliance &amp; consent</t>
  </si>
  <si>
    <t>Per-channel consent; opt-out/STOP; frequency caps; quiet hours; disclosures.</t>
  </si>
  <si>
    <t>Any automated outreach</t>
  </si>
  <si>
    <t>4E.2</t>
  </si>
  <si>
    <t>Audit trail &amp; data governance</t>
  </si>
  <si>
    <t>Immutable action log; stored AI rationale; role-based access; export.</t>
  </si>
  <si>
    <t>All modules</t>
  </si>
  <si>
    <t>4F.1</t>
  </si>
  <si>
    <t>M6 · Collector Management</t>
  </si>
  <si>
    <t>Collector capacity &amp; workload balancing</t>
  </si>
  <si>
    <t>Per-collector load view; assignment rules; rebalancing; SLA monitoring.</t>
  </si>
  <si>
    <t>Multi-collector dealers</t>
  </si>
  <si>
    <t>4F.2</t>
  </si>
  <si>
    <t>Collector performance &amp; coaching</t>
  </si>
  <si>
    <t>Recovery-outcome metrics; coaching signals; optional leaderboard; group roll-up.</t>
  </si>
  <si>
    <t>Workload data</t>
  </si>
  <si>
    <t>5.1</t>
  </si>
  <si>
    <t>Platform &amp; Integration</t>
  </si>
  <si>
    <t>ARC Accounting invoice sync (bidirectional)</t>
  </si>
  <si>
    <t>Live read of invoices, terms, aging, payment history; status write-back.</t>
  </si>
  <si>
    <t>ARC Accounting</t>
  </si>
  <si>
    <t>ARC write-back (payments, cash app, GL, credit notes)</t>
  </si>
  <si>
    <t>Post payment settlement, discounts, and cash application to ARC GL.</t>
  </si>
  <si>
    <t>ARC Service read (RO / parts context)</t>
  </si>
  <si>
    <t>Read RO and parts context to enrich account and invoice detail.</t>
  </si>
  <si>
    <t>ARC Service</t>
  </si>
  <si>
    <t>ARC CRM read/write (contacts, activity logs)</t>
  </si>
  <si>
    <t>Read contact info; write collection activity logs and task completions.</t>
  </si>
  <si>
    <t>ARC CRM</t>
  </si>
  <si>
    <t>ARC Analytics publish (DSO, efficiency, ROI)</t>
  </si>
  <si>
    <t>Emit AR metrics as events into ARC Analytics dashboards.</t>
  </si>
  <si>
    <t>ARC Analytics</t>
  </si>
  <si>
    <t>10</t>
  </si>
  <si>
    <t>Data health check tool</t>
  </si>
  <si>
    <t>Flags dealers with messy AR data before AI grading activates (risk mitigation).</t>
  </si>
  <si>
    <t>Invoice sync</t>
  </si>
  <si>
    <t>11.1</t>
  </si>
  <si>
    <t>Analytics &amp; Dashboards</t>
  </si>
  <si>
    <t>DSO trend dashboard</t>
  </si>
  <si>
    <t>Rolling DSO trend for the dealer, with narrative.</t>
  </si>
  <si>
    <t>S</t>
  </si>
  <si>
    <t>Controller dashboard (PTPs, collection status)</t>
  </si>
  <si>
    <t>Active PTPs and collection status for the controller.</t>
  </si>
  <si>
    <t>PTP</t>
  </si>
  <si>
    <t>12.2</t>
  </si>
  <si>
    <t>Cash flow forecast (30/60/90 day)</t>
  </si>
  <si>
    <t>Baseline + optimistic + committed cash inflow forecast.</t>
  </si>
  <si>
    <t>Payment DNA; forecast model</t>
  </si>
  <si>
    <t>9</t>
  </si>
  <si>
    <t>Group-level dashboard (dealer groups)</t>
  </si>
  <si>
    <t>Cross-rooftop AR view for dealer-group management.</t>
  </si>
  <si>
    <t>Phase 4</t>
  </si>
  <si>
    <t>Multi-dealer data</t>
  </si>
  <si>
    <t>7.1</t>
  </si>
  <si>
    <t>Commercial &amp; Packaging</t>
  </si>
  <si>
    <t>Collections Essentials SKU</t>
  </si>
  <si>
    <t>Packaging: workqueue, dunning, PTP, cash application.</t>
  </si>
  <si>
    <t>Phase 1 features</t>
  </si>
  <si>
    <t>Collections Pro SKU</t>
  </si>
  <si>
    <t>Packaging: + early payment offers, buyer portal, campaigns, forecast.</t>
  </si>
  <si>
    <t>Module 2</t>
  </si>
  <si>
    <t>Collections Elite SKU</t>
  </si>
  <si>
    <t>Packaging: + liquidity offers, payment DNA, AI discounts, analytics.</t>
  </si>
  <si>
    <t>Module 2+4</t>
  </si>
  <si>
    <t>7.2</t>
  </si>
  <si>
    <t>Volume-slab pricing configuration</t>
  </si>
  <si>
    <t>S/M/L/XL multipliers by open-AR volume.</t>
  </si>
  <si>
    <t>Billing</t>
  </si>
  <si>
    <t>Consortium cross-dealer behaviour model</t>
  </si>
  <si>
    <t>Cross-Tekion payment-behaviour learning (the data moat).</t>
  </si>
  <si>
    <t>Multi-dealer data; ML</t>
  </si>
  <si>
    <t>OEM-specific AR workflows (fleet programs)</t>
  </si>
  <si>
    <t>Tailored workflows for OEM fleet programs.</t>
  </si>
  <si>
    <t>OEM data</t>
  </si>
  <si>
    <t>API for third-party factoring integration</t>
  </si>
  <si>
    <t>Open API for external factoring partners.</t>
  </si>
  <si>
    <t>Partner APIs</t>
  </si>
  <si>
    <t>Phase 1 Scope — Live Summary</t>
  </si>
  <si>
    <t>Counts update automatically from the 'P1 Decision' and 'P1 Recommended' columns in the checklist.</t>
  </si>
  <si>
    <t>Total features in scope</t>
  </si>
  <si>
    <t>By my Phase 1 recommendation</t>
  </si>
  <si>
    <t>Yes (ship in Phase 1)</t>
  </si>
  <si>
    <t>Consider (optional/partial)</t>
  </si>
  <si>
    <t>No (later phase)</t>
  </si>
  <si>
    <t>By your Phase 1 decision</t>
  </si>
  <si>
    <t>Approved for Phase 1</t>
  </si>
  <si>
    <t>Deferred to later phase</t>
  </si>
  <si>
    <t>Out of scope</t>
  </si>
  <si>
    <t>Needs discussion</t>
  </si>
  <si>
    <t>Approved features by module</t>
  </si>
  <si>
    <t>In scope</t>
  </si>
  <si>
    <t>Approved for 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</si>
</sst>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8"/>
      <color rgb="FF1A3C5E"/>
      <name val="Arial"/>
      <family val="2"/>
    </font>
    <font>
      <i/>
      <sz val="11"/>
      <color rgb="FF2E86AB"/>
      <name val="Arial"/>
      <family val="2"/>
    </font>
    <font>
      <b/>
      <sz val="13"/>
      <color rgb="FF1A3C5E"/>
      <name val="Arial"/>
      <family val="2"/>
    </font>
    <font>
      <sz val="11"/>
      <color rgb="FF111827"/>
      <name val="Arial"/>
      <family val="2"/>
    </font>
    <font>
      <b/>
      <sz val="11"/>
      <color rgb="FF1A3C5E"/>
      <name val="Arial"/>
      <family val="2"/>
    </font>
    <font>
      <b/>
      <sz val="11"/>
      <color rgb="FFFFFFFF"/>
      <name val="Arial"/>
      <family val="2"/>
    </font>
    <font>
      <sz val="10"/>
      <color rgb="FF111827"/>
      <name val="Arial"/>
      <family val="2"/>
    </font>
    <font>
      <b/>
      <sz val="10"/>
      <color rgb="FF111827"/>
      <name val="Arial"/>
      <family val="2"/>
    </font>
    <font>
      <b/>
      <sz val="16"/>
      <color rgb="FF1A3C5E"/>
      <name val="Arial"/>
      <family val="2"/>
    </font>
    <font>
      <b/>
      <sz val="11"/>
      <color rgb="FF111827"/>
      <name val="Arial"/>
      <family val="2"/>
    </font>
    <font>
      <b/>
      <sz val="12"/>
      <color rgb="FF1A3C5E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A3C5E"/>
      </patternFill>
    </fill>
    <fill>
      <patternFill patternType="solid">
        <fgColor rgb="FFF1F5F9"/>
      </patternFill>
    </fill>
    <fill>
      <patternFill patternType="solid">
        <fgColor rgb="FFFFF7C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/>
    </xf>
    <xf numFmtId="0" fontId="8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4" fillId="0" borderId="0" xfId="0" applyFont="1"/>
    <xf numFmtId="0" fontId="2" fillId="0" borderId="0" xfId="0" applyFont="1" applyAlignment="1">
      <alignment vertical="top" wrapText="1"/>
    </xf>
    <xf numFmtId="0" fontId="0" fillId="0" borderId="0" xfId="0"/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7">
    <dxf>
      <fill>
        <patternFill patternType="solid">
          <fgColor rgb="FFDBEAFE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FEF3C7"/>
        </patternFill>
      </fill>
    </dxf>
    <dxf>
      <fill>
        <patternFill patternType="solid">
          <fgColor rgb="FFD1FAE5"/>
        </patternFill>
      </fill>
    </dxf>
    <dxf>
      <fill>
        <patternFill patternType="solid">
          <fgColor rgb="FFE5E7EB"/>
        </patternFill>
      </fill>
    </dxf>
    <dxf>
      <fill>
        <patternFill patternType="solid">
          <fgColor rgb="FFFEF3C7"/>
        </patternFill>
      </fill>
    </dxf>
    <dxf>
      <fill>
        <patternFill patternType="solid">
          <fgColor rgb="FFD1FAE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AE2DD4D-0A3A-A242-A876-A5DF4EBC594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e9d0c0ce-b56a-4ad8-89ae-560bb5f79557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35"/>
  <sheetViews>
    <sheetView showGridLines="0" workbookViewId="0"/>
  </sheetViews>
  <sheetFormatPr baseColWidth="10" defaultColWidth="8.83203125" defaultRowHeight="15" x14ac:dyDescent="0.2"/>
  <cols>
    <col min="1" max="1" width="2" customWidth="1"/>
    <col min="2" max="2" width="20" customWidth="1"/>
    <col min="3" max="8" width="18" customWidth="1"/>
  </cols>
  <sheetData>
    <row r="2" spans="2:8" ht="23" x14ac:dyDescent="0.25">
      <c r="B2" s="1" t="s">
        <v>0</v>
      </c>
    </row>
    <row r="3" spans="2:8" x14ac:dyDescent="0.2">
      <c r="B3" s="2" t="s">
        <v>1</v>
      </c>
    </row>
    <row r="5" spans="2:8" ht="17" x14ac:dyDescent="0.2">
      <c r="B5" s="3" t="s">
        <v>2</v>
      </c>
    </row>
    <row r="6" spans="2:8" x14ac:dyDescent="0.2">
      <c r="B6" s="20" t="s">
        <v>3</v>
      </c>
      <c r="C6" s="19"/>
      <c r="D6" s="19"/>
      <c r="E6" s="19"/>
      <c r="F6" s="19"/>
      <c r="G6" s="19"/>
      <c r="H6" s="19"/>
    </row>
    <row r="7" spans="2:8" x14ac:dyDescent="0.2">
      <c r="B7" s="19"/>
      <c r="C7" s="19"/>
      <c r="D7" s="19"/>
      <c r="E7" s="19"/>
      <c r="F7" s="19"/>
      <c r="G7" s="19"/>
      <c r="H7" s="19"/>
    </row>
    <row r="8" spans="2:8" x14ac:dyDescent="0.2">
      <c r="B8" s="19"/>
      <c r="C8" s="19"/>
      <c r="D8" s="19"/>
      <c r="E8" s="19"/>
      <c r="F8" s="19"/>
      <c r="G8" s="19"/>
      <c r="H8" s="19"/>
    </row>
    <row r="9" spans="2:8" x14ac:dyDescent="0.2">
      <c r="B9" s="19"/>
      <c r="C9" s="19"/>
      <c r="D9" s="19"/>
      <c r="E9" s="19"/>
      <c r="F9" s="19"/>
      <c r="G9" s="19"/>
      <c r="H9" s="19"/>
    </row>
    <row r="11" spans="2:8" ht="17" x14ac:dyDescent="0.2">
      <c r="B11" s="3" t="s">
        <v>4</v>
      </c>
    </row>
    <row r="12" spans="2:8" x14ac:dyDescent="0.2">
      <c r="B12" s="20" t="s">
        <v>5</v>
      </c>
      <c r="C12" s="19"/>
      <c r="D12" s="19"/>
      <c r="E12" s="19"/>
      <c r="F12" s="19"/>
      <c r="G12" s="19"/>
      <c r="H12" s="19"/>
    </row>
    <row r="13" spans="2:8" x14ac:dyDescent="0.2">
      <c r="B13" s="20" t="s">
        <v>6</v>
      </c>
      <c r="C13" s="19"/>
      <c r="D13" s="19"/>
      <c r="E13" s="19"/>
      <c r="F13" s="19"/>
      <c r="G13" s="19"/>
      <c r="H13" s="19"/>
    </row>
    <row r="14" spans="2:8" x14ac:dyDescent="0.2">
      <c r="B14" s="20" t="s">
        <v>7</v>
      </c>
      <c r="C14" s="19"/>
      <c r="D14" s="19"/>
      <c r="E14" s="19"/>
      <c r="F14" s="19"/>
      <c r="G14" s="19"/>
      <c r="H14" s="19"/>
    </row>
    <row r="15" spans="2:8" x14ac:dyDescent="0.2">
      <c r="B15" s="20" t="s">
        <v>8</v>
      </c>
      <c r="C15" s="19"/>
      <c r="D15" s="19"/>
      <c r="E15" s="19"/>
      <c r="F15" s="19"/>
      <c r="G15" s="19"/>
      <c r="H15" s="19"/>
    </row>
    <row r="17" spans="2:8" ht="17" x14ac:dyDescent="0.2">
      <c r="B17" s="3" t="s">
        <v>9</v>
      </c>
    </row>
    <row r="18" spans="2:8" x14ac:dyDescent="0.2">
      <c r="B18" s="4" t="s">
        <v>10</v>
      </c>
      <c r="C18" s="20" t="s">
        <v>11</v>
      </c>
      <c r="D18" s="19"/>
      <c r="E18" s="19"/>
      <c r="F18" s="19"/>
      <c r="G18" s="19"/>
      <c r="H18" s="19"/>
    </row>
    <row r="19" spans="2:8" x14ac:dyDescent="0.2">
      <c r="B19" s="4" t="s">
        <v>12</v>
      </c>
      <c r="C19" s="20" t="s">
        <v>13</v>
      </c>
      <c r="D19" s="19"/>
      <c r="E19" s="19"/>
      <c r="F19" s="19"/>
      <c r="G19" s="19"/>
      <c r="H19" s="19"/>
    </row>
    <row r="20" spans="2:8" x14ac:dyDescent="0.2">
      <c r="B20" s="4" t="s">
        <v>14</v>
      </c>
      <c r="C20" s="20" t="s">
        <v>15</v>
      </c>
      <c r="D20" s="19"/>
      <c r="E20" s="19"/>
      <c r="F20" s="19"/>
      <c r="G20" s="19"/>
      <c r="H20" s="19"/>
    </row>
    <row r="21" spans="2:8" x14ac:dyDescent="0.2">
      <c r="B21" s="4" t="s">
        <v>16</v>
      </c>
      <c r="C21" s="20" t="s">
        <v>17</v>
      </c>
      <c r="D21" s="19"/>
      <c r="E21" s="19"/>
      <c r="F21" s="19"/>
      <c r="G21" s="19"/>
      <c r="H21" s="19"/>
    </row>
    <row r="22" spans="2:8" x14ac:dyDescent="0.2">
      <c r="B22" s="4" t="s">
        <v>18</v>
      </c>
      <c r="C22" s="20" t="s">
        <v>19</v>
      </c>
      <c r="D22" s="19"/>
      <c r="E22" s="19"/>
      <c r="F22" s="19"/>
      <c r="G22" s="19"/>
      <c r="H22" s="19"/>
    </row>
    <row r="23" spans="2:8" x14ac:dyDescent="0.2">
      <c r="B23" s="4" t="s">
        <v>20</v>
      </c>
      <c r="C23" s="20" t="s">
        <v>21</v>
      </c>
      <c r="D23" s="19"/>
      <c r="E23" s="19"/>
      <c r="F23" s="19"/>
      <c r="G23" s="19"/>
      <c r="H23" s="19"/>
    </row>
    <row r="24" spans="2:8" x14ac:dyDescent="0.2">
      <c r="B24" s="4" t="s">
        <v>22</v>
      </c>
      <c r="C24" s="20" t="s">
        <v>23</v>
      </c>
      <c r="D24" s="19"/>
      <c r="E24" s="19"/>
      <c r="F24" s="19"/>
      <c r="G24" s="19"/>
      <c r="H24" s="19"/>
    </row>
    <row r="25" spans="2:8" x14ac:dyDescent="0.2">
      <c r="B25" s="4" t="s">
        <v>24</v>
      </c>
      <c r="C25" s="20" t="s">
        <v>25</v>
      </c>
      <c r="D25" s="19"/>
      <c r="E25" s="19"/>
      <c r="F25" s="19"/>
      <c r="G25" s="19"/>
      <c r="H25" s="19"/>
    </row>
    <row r="26" spans="2:8" x14ac:dyDescent="0.2">
      <c r="B26" s="4" t="s">
        <v>26</v>
      </c>
      <c r="C26" s="20" t="s">
        <v>27</v>
      </c>
      <c r="D26" s="19"/>
      <c r="E26" s="19"/>
      <c r="F26" s="19"/>
      <c r="G26" s="19"/>
      <c r="H26" s="19"/>
    </row>
    <row r="28" spans="2:8" x14ac:dyDescent="0.2">
      <c r="B28" s="18" t="s">
        <v>28</v>
      </c>
      <c r="C28" s="19"/>
      <c r="D28" s="19"/>
      <c r="E28" s="19"/>
      <c r="F28" s="19"/>
      <c r="G28" s="19"/>
      <c r="H28" s="19"/>
    </row>
    <row r="29" spans="2:8" x14ac:dyDescent="0.2">
      <c r="B29" s="19"/>
      <c r="C29" s="19"/>
      <c r="D29" s="19"/>
      <c r="E29" s="19"/>
      <c r="F29" s="19"/>
      <c r="G29" s="19"/>
      <c r="H29" s="19"/>
    </row>
    <row r="31" spans="2:8" ht="17" x14ac:dyDescent="0.2">
      <c r="B31" s="3" t="s">
        <v>29</v>
      </c>
    </row>
    <row r="32" spans="2:8" x14ac:dyDescent="0.2">
      <c r="B32" s="20" t="s">
        <v>30</v>
      </c>
      <c r="C32" s="19"/>
      <c r="D32" s="19"/>
      <c r="E32" s="19"/>
      <c r="F32" s="19"/>
      <c r="G32" s="19"/>
      <c r="H32" s="19"/>
    </row>
    <row r="33" spans="2:8" x14ac:dyDescent="0.2">
      <c r="B33" s="19"/>
      <c r="C33" s="19"/>
      <c r="D33" s="19"/>
      <c r="E33" s="19"/>
      <c r="F33" s="19"/>
      <c r="G33" s="19"/>
      <c r="H33" s="19"/>
    </row>
    <row r="34" spans="2:8" x14ac:dyDescent="0.2">
      <c r="B34" s="19"/>
      <c r="C34" s="19"/>
      <c r="D34" s="19"/>
      <c r="E34" s="19"/>
      <c r="F34" s="19"/>
      <c r="G34" s="19"/>
      <c r="H34" s="19"/>
    </row>
    <row r="35" spans="2:8" x14ac:dyDescent="0.2">
      <c r="B35" s="19"/>
      <c r="C35" s="19"/>
      <c r="D35" s="19"/>
      <c r="E35" s="19"/>
      <c r="F35" s="19"/>
      <c r="G35" s="19"/>
      <c r="H35" s="19"/>
    </row>
  </sheetData>
  <mergeCells count="16">
    <mergeCell ref="B6:H9"/>
    <mergeCell ref="C21:H21"/>
    <mergeCell ref="B32:H35"/>
    <mergeCell ref="B13:H13"/>
    <mergeCell ref="C22:H22"/>
    <mergeCell ref="B12:H12"/>
    <mergeCell ref="C23:H23"/>
    <mergeCell ref="C18:H18"/>
    <mergeCell ref="B15:H15"/>
    <mergeCell ref="C20:H20"/>
    <mergeCell ref="B28:H29"/>
    <mergeCell ref="C25:H25"/>
    <mergeCell ref="B14:H14"/>
    <mergeCell ref="C24:H24"/>
    <mergeCell ref="C19:H19"/>
    <mergeCell ref="C26:H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M52"/>
  <sheetViews>
    <sheetView showGridLines="0" tabSelected="1" workbookViewId="0">
      <pane xSplit="2" ySplit="1" topLeftCell="C2" activePane="bottomRight" state="frozen"/>
      <selection pane="topRight"/>
      <selection pane="bottomLeft"/>
      <selection pane="bottomRight" activeCell="D12" sqref="D12"/>
    </sheetView>
  </sheetViews>
  <sheetFormatPr baseColWidth="10" defaultColWidth="8.83203125" defaultRowHeight="15" x14ac:dyDescent="0.2"/>
  <cols>
    <col min="1" max="1" width="7" customWidth="1"/>
    <col min="2" max="2" width="24" customWidth="1"/>
    <col min="3" max="3" width="34" customWidth="1"/>
    <col min="4" max="4" width="52" customWidth="1"/>
    <col min="5" max="6" width="9" customWidth="1"/>
    <col min="7" max="7" width="7" customWidth="1"/>
    <col min="8" max="8" width="8" customWidth="1"/>
    <col min="9" max="9" width="15" customWidth="1"/>
    <col min="10" max="10" width="22" customWidth="1"/>
    <col min="11" max="11" width="26" customWidth="1"/>
    <col min="12" max="12" width="14" customWidth="1"/>
    <col min="13" max="13" width="24" customWidth="1"/>
  </cols>
  <sheetData>
    <row r="1" spans="1:13" ht="30" customHeight="1" x14ac:dyDescent="0.2">
      <c r="A1" s="5" t="s">
        <v>10</v>
      </c>
      <c r="B1" s="5" t="s">
        <v>12</v>
      </c>
      <c r="C1" s="5" t="s">
        <v>31</v>
      </c>
      <c r="D1" s="5" t="s">
        <v>32</v>
      </c>
      <c r="E1" s="5" t="s">
        <v>14</v>
      </c>
      <c r="F1" s="5" t="s">
        <v>16</v>
      </c>
      <c r="G1" s="5" t="s">
        <v>18</v>
      </c>
      <c r="H1" s="5" t="s">
        <v>20</v>
      </c>
      <c r="I1" s="5" t="s">
        <v>22</v>
      </c>
      <c r="J1" s="5" t="s">
        <v>24</v>
      </c>
      <c r="K1" s="5" t="s">
        <v>26</v>
      </c>
      <c r="L1" s="5" t="s">
        <v>33</v>
      </c>
      <c r="M1" s="5" t="s">
        <v>34</v>
      </c>
    </row>
    <row r="2" spans="1:13" ht="28" x14ac:dyDescent="0.2">
      <c r="A2" s="6" t="s">
        <v>35</v>
      </c>
      <c r="B2" s="6" t="s">
        <v>36</v>
      </c>
      <c r="C2" s="7" t="s">
        <v>37</v>
      </c>
      <c r="D2" s="8" t="s">
        <v>38</v>
      </c>
      <c r="E2" s="6" t="s">
        <v>39</v>
      </c>
      <c r="F2" s="6" t="s">
        <v>40</v>
      </c>
      <c r="G2" s="6" t="s">
        <v>41</v>
      </c>
      <c r="H2" s="6" t="s">
        <v>42</v>
      </c>
      <c r="I2" s="6" t="s">
        <v>43</v>
      </c>
      <c r="J2" s="9" t="s">
        <v>44</v>
      </c>
      <c r="K2" s="8" t="s">
        <v>45</v>
      </c>
      <c r="L2" s="9"/>
      <c r="M2" s="10"/>
    </row>
    <row r="3" spans="1:13" ht="28" x14ac:dyDescent="0.2">
      <c r="A3" s="11" t="s">
        <v>35</v>
      </c>
      <c r="B3" s="11" t="s">
        <v>36</v>
      </c>
      <c r="C3" s="12" t="s">
        <v>46</v>
      </c>
      <c r="D3" s="13" t="s">
        <v>47</v>
      </c>
      <c r="E3" s="11" t="s">
        <v>39</v>
      </c>
      <c r="F3" s="11" t="s">
        <v>40</v>
      </c>
      <c r="G3" s="11" t="s">
        <v>41</v>
      </c>
      <c r="H3" s="11" t="s">
        <v>42</v>
      </c>
      <c r="I3" s="11" t="s">
        <v>43</v>
      </c>
      <c r="J3" s="9" t="s">
        <v>44</v>
      </c>
      <c r="K3" s="13" t="s">
        <v>48</v>
      </c>
      <c r="L3" s="9"/>
      <c r="M3" s="10"/>
    </row>
    <row r="4" spans="1:13" ht="28" x14ac:dyDescent="0.2">
      <c r="A4" s="6" t="s">
        <v>49</v>
      </c>
      <c r="B4" s="6" t="s">
        <v>36</v>
      </c>
      <c r="C4" s="7" t="s">
        <v>50</v>
      </c>
      <c r="D4" s="8" t="s">
        <v>51</v>
      </c>
      <c r="E4" s="6" t="s">
        <v>39</v>
      </c>
      <c r="F4" s="6" t="s">
        <v>40</v>
      </c>
      <c r="G4" s="6" t="s">
        <v>52</v>
      </c>
      <c r="H4" s="6" t="s">
        <v>42</v>
      </c>
      <c r="I4" s="6" t="s">
        <v>43</v>
      </c>
      <c r="J4" s="9" t="s">
        <v>44</v>
      </c>
      <c r="K4" s="8" t="s">
        <v>53</v>
      </c>
      <c r="L4" s="9"/>
      <c r="M4" s="10"/>
    </row>
    <row r="5" spans="1:13" ht="28" x14ac:dyDescent="0.2">
      <c r="A5" s="11" t="s">
        <v>49</v>
      </c>
      <c r="B5" s="11" t="s">
        <v>36</v>
      </c>
      <c r="C5" s="12" t="s">
        <v>54</v>
      </c>
      <c r="D5" s="13" t="s">
        <v>55</v>
      </c>
      <c r="E5" s="11" t="s">
        <v>39</v>
      </c>
      <c r="F5" s="11" t="s">
        <v>40</v>
      </c>
      <c r="G5" s="11" t="s">
        <v>41</v>
      </c>
      <c r="H5" s="11" t="s">
        <v>42</v>
      </c>
      <c r="I5" s="11" t="s">
        <v>43</v>
      </c>
      <c r="J5" s="9" t="s">
        <v>44</v>
      </c>
      <c r="K5" s="13" t="s">
        <v>56</v>
      </c>
      <c r="L5" s="9"/>
      <c r="M5" s="10"/>
    </row>
    <row r="6" spans="1:13" ht="28" x14ac:dyDescent="0.2">
      <c r="A6" s="6" t="s">
        <v>57</v>
      </c>
      <c r="B6" s="6" t="s">
        <v>36</v>
      </c>
      <c r="C6" s="7" t="s">
        <v>58</v>
      </c>
      <c r="D6" s="8" t="s">
        <v>59</v>
      </c>
      <c r="E6" s="6" t="s">
        <v>39</v>
      </c>
      <c r="F6" s="6" t="s">
        <v>40</v>
      </c>
      <c r="G6" s="6" t="s">
        <v>41</v>
      </c>
      <c r="H6" s="6" t="s">
        <v>42</v>
      </c>
      <c r="I6" s="6" t="s">
        <v>43</v>
      </c>
      <c r="J6" s="9" t="s">
        <v>44</v>
      </c>
      <c r="K6" s="8" t="s">
        <v>60</v>
      </c>
      <c r="L6" s="9"/>
      <c r="M6" s="10"/>
    </row>
    <row r="7" spans="1:13" ht="28" x14ac:dyDescent="0.2">
      <c r="A7" s="11" t="s">
        <v>61</v>
      </c>
      <c r="B7" s="11" t="s">
        <v>36</v>
      </c>
      <c r="C7" s="12" t="s">
        <v>62</v>
      </c>
      <c r="D7" s="13" t="s">
        <v>63</v>
      </c>
      <c r="E7" s="11" t="s">
        <v>39</v>
      </c>
      <c r="F7" s="11" t="s">
        <v>40</v>
      </c>
      <c r="G7" s="11" t="s">
        <v>41</v>
      </c>
      <c r="H7" s="11" t="s">
        <v>42</v>
      </c>
      <c r="I7" s="11" t="s">
        <v>43</v>
      </c>
      <c r="J7" s="9" t="s">
        <v>44</v>
      </c>
      <c r="K7" s="13" t="s">
        <v>64</v>
      </c>
      <c r="L7" s="9"/>
      <c r="M7" s="10"/>
    </row>
    <row r="8" spans="1:13" ht="28" hidden="1" x14ac:dyDescent="0.2">
      <c r="A8" s="6" t="s">
        <v>61</v>
      </c>
      <c r="B8" s="6" t="s">
        <v>36</v>
      </c>
      <c r="C8" s="7" t="s">
        <v>65</v>
      </c>
      <c r="D8" s="8" t="s">
        <v>66</v>
      </c>
      <c r="E8" s="6" t="s">
        <v>39</v>
      </c>
      <c r="F8" s="6" t="s">
        <v>67</v>
      </c>
      <c r="G8" s="6" t="s">
        <v>52</v>
      </c>
      <c r="H8" s="6" t="s">
        <v>68</v>
      </c>
      <c r="I8" s="6" t="s">
        <v>69</v>
      </c>
      <c r="J8" s="9" t="s">
        <v>44</v>
      </c>
      <c r="K8" s="8" t="s">
        <v>70</v>
      </c>
      <c r="L8" s="9"/>
      <c r="M8" s="10"/>
    </row>
    <row r="9" spans="1:13" ht="28" hidden="1" x14ac:dyDescent="0.2">
      <c r="A9" s="11" t="s">
        <v>71</v>
      </c>
      <c r="B9" s="11" t="s">
        <v>36</v>
      </c>
      <c r="C9" s="12" t="s">
        <v>72</v>
      </c>
      <c r="D9" s="13" t="s">
        <v>73</v>
      </c>
      <c r="E9" s="11" t="s">
        <v>74</v>
      </c>
      <c r="F9" s="11" t="s">
        <v>75</v>
      </c>
      <c r="G9" s="11" t="s">
        <v>41</v>
      </c>
      <c r="H9" s="11" t="s">
        <v>68</v>
      </c>
      <c r="I9" s="11" t="s">
        <v>69</v>
      </c>
      <c r="J9" s="9" t="s">
        <v>44</v>
      </c>
      <c r="K9" s="13" t="s">
        <v>76</v>
      </c>
      <c r="L9" s="9"/>
      <c r="M9" s="10"/>
    </row>
    <row r="10" spans="1:13" ht="28" hidden="1" x14ac:dyDescent="0.2">
      <c r="A10" s="6" t="s">
        <v>77</v>
      </c>
      <c r="B10" s="6" t="s">
        <v>36</v>
      </c>
      <c r="C10" s="7" t="s">
        <v>78</v>
      </c>
      <c r="D10" s="8" t="s">
        <v>79</v>
      </c>
      <c r="E10" s="6" t="s">
        <v>74</v>
      </c>
      <c r="F10" s="6" t="s">
        <v>75</v>
      </c>
      <c r="G10" s="6" t="s">
        <v>41</v>
      </c>
      <c r="H10" s="6" t="s">
        <v>80</v>
      </c>
      <c r="I10" s="6" t="s">
        <v>69</v>
      </c>
      <c r="J10" s="9" t="s">
        <v>44</v>
      </c>
      <c r="K10" s="8" t="s">
        <v>81</v>
      </c>
      <c r="L10" s="9"/>
      <c r="M10" s="10"/>
    </row>
    <row r="11" spans="1:13" ht="28" hidden="1" x14ac:dyDescent="0.2">
      <c r="A11" s="11" t="s">
        <v>82</v>
      </c>
      <c r="B11" s="11" t="s">
        <v>36</v>
      </c>
      <c r="C11" s="12" t="s">
        <v>83</v>
      </c>
      <c r="D11" s="13" t="s">
        <v>84</v>
      </c>
      <c r="E11" s="11" t="s">
        <v>74</v>
      </c>
      <c r="F11" s="11" t="s">
        <v>67</v>
      </c>
      <c r="G11" s="11" t="s">
        <v>41</v>
      </c>
      <c r="H11" s="11" t="s">
        <v>68</v>
      </c>
      <c r="I11" s="11" t="s">
        <v>85</v>
      </c>
      <c r="J11" s="9" t="s">
        <v>44</v>
      </c>
      <c r="K11" s="13" t="s">
        <v>86</v>
      </c>
      <c r="L11" s="9"/>
      <c r="M11" s="10"/>
    </row>
    <row r="12" spans="1:13" ht="28" hidden="1" x14ac:dyDescent="0.2">
      <c r="A12" s="6" t="s">
        <v>87</v>
      </c>
      <c r="B12" s="6" t="s">
        <v>36</v>
      </c>
      <c r="C12" s="7" t="s">
        <v>88</v>
      </c>
      <c r="D12" s="8" t="s">
        <v>89</v>
      </c>
      <c r="E12" s="6" t="s">
        <v>74</v>
      </c>
      <c r="F12" s="6" t="s">
        <v>75</v>
      </c>
      <c r="G12" s="6" t="s">
        <v>41</v>
      </c>
      <c r="H12" s="6" t="s">
        <v>68</v>
      </c>
      <c r="I12" s="6" t="s">
        <v>85</v>
      </c>
      <c r="J12" s="9" t="s">
        <v>44</v>
      </c>
      <c r="K12" s="8" t="s">
        <v>90</v>
      </c>
      <c r="L12" s="9"/>
      <c r="M12" s="10"/>
    </row>
    <row r="13" spans="1:13" ht="56" hidden="1" x14ac:dyDescent="0.2">
      <c r="A13" s="11" t="s">
        <v>91</v>
      </c>
      <c r="B13" s="11" t="s">
        <v>36</v>
      </c>
      <c r="C13" s="12" t="s">
        <v>92</v>
      </c>
      <c r="D13" s="13" t="s">
        <v>93</v>
      </c>
      <c r="E13" s="11" t="s">
        <v>74</v>
      </c>
      <c r="F13" s="11" t="s">
        <v>67</v>
      </c>
      <c r="G13" s="11" t="s">
        <v>41</v>
      </c>
      <c r="H13" s="11" t="s">
        <v>68</v>
      </c>
      <c r="I13" s="11" t="s">
        <v>85</v>
      </c>
      <c r="J13" s="9" t="s">
        <v>44</v>
      </c>
      <c r="K13" s="13" t="s">
        <v>94</v>
      </c>
      <c r="L13" s="9"/>
      <c r="M13" s="10" t="s">
        <v>95</v>
      </c>
    </row>
    <row r="14" spans="1:13" ht="28" hidden="1" x14ac:dyDescent="0.2">
      <c r="A14" s="6" t="s">
        <v>96</v>
      </c>
      <c r="B14" s="6" t="s">
        <v>36</v>
      </c>
      <c r="C14" s="7" t="s">
        <v>97</v>
      </c>
      <c r="D14" s="8" t="s">
        <v>98</v>
      </c>
      <c r="E14" s="6" t="s">
        <v>74</v>
      </c>
      <c r="F14" s="6" t="s">
        <v>67</v>
      </c>
      <c r="G14" s="6" t="s">
        <v>52</v>
      </c>
      <c r="H14" s="6" t="s">
        <v>68</v>
      </c>
      <c r="I14" s="6" t="s">
        <v>69</v>
      </c>
      <c r="J14" s="9" t="s">
        <v>44</v>
      </c>
      <c r="K14" s="8" t="s">
        <v>99</v>
      </c>
      <c r="L14" s="9"/>
      <c r="M14" s="10"/>
    </row>
    <row r="15" spans="1:13" ht="42" hidden="1" x14ac:dyDescent="0.2">
      <c r="A15" s="11" t="s">
        <v>100</v>
      </c>
      <c r="B15" s="11" t="s">
        <v>101</v>
      </c>
      <c r="C15" s="12" t="s">
        <v>102</v>
      </c>
      <c r="D15" s="13" t="s">
        <v>103</v>
      </c>
      <c r="E15" s="11" t="s">
        <v>39</v>
      </c>
      <c r="F15" s="11" t="s">
        <v>67</v>
      </c>
      <c r="G15" s="11" t="s">
        <v>52</v>
      </c>
      <c r="H15" s="11" t="s">
        <v>68</v>
      </c>
      <c r="I15" s="11" t="s">
        <v>69</v>
      </c>
      <c r="J15" s="9" t="s">
        <v>44</v>
      </c>
      <c r="K15" s="13" t="s">
        <v>104</v>
      </c>
      <c r="L15" s="9"/>
      <c r="M15" s="10" t="s">
        <v>105</v>
      </c>
    </row>
    <row r="16" spans="1:13" ht="28" hidden="1" x14ac:dyDescent="0.2">
      <c r="A16" s="6" t="s">
        <v>100</v>
      </c>
      <c r="B16" s="6" t="s">
        <v>101</v>
      </c>
      <c r="C16" s="7" t="s">
        <v>106</v>
      </c>
      <c r="D16" s="8" t="s">
        <v>107</v>
      </c>
      <c r="E16" s="6" t="s">
        <v>39</v>
      </c>
      <c r="F16" s="6" t="s">
        <v>75</v>
      </c>
      <c r="G16" s="6" t="s">
        <v>52</v>
      </c>
      <c r="H16" s="6" t="s">
        <v>80</v>
      </c>
      <c r="I16" s="6" t="s">
        <v>69</v>
      </c>
      <c r="J16" s="9" t="s">
        <v>44</v>
      </c>
      <c r="K16" s="8" t="s">
        <v>108</v>
      </c>
      <c r="L16" s="9"/>
      <c r="M16" s="10"/>
    </row>
    <row r="17" spans="1:13" ht="28" x14ac:dyDescent="0.2">
      <c r="A17" s="11" t="s">
        <v>109</v>
      </c>
      <c r="B17" s="11" t="s">
        <v>101</v>
      </c>
      <c r="C17" s="12" t="s">
        <v>110</v>
      </c>
      <c r="D17" s="13" t="s">
        <v>111</v>
      </c>
      <c r="E17" s="11" t="s">
        <v>39</v>
      </c>
      <c r="F17" s="11" t="s">
        <v>40</v>
      </c>
      <c r="G17" s="11" t="s">
        <v>41</v>
      </c>
      <c r="H17" s="11" t="s">
        <v>68</v>
      </c>
      <c r="I17" s="11" t="s">
        <v>85</v>
      </c>
      <c r="J17" s="9" t="s">
        <v>44</v>
      </c>
      <c r="K17" s="13" t="s">
        <v>112</v>
      </c>
      <c r="L17" s="9"/>
      <c r="M17" s="10"/>
    </row>
    <row r="18" spans="1:13" ht="28" hidden="1" x14ac:dyDescent="0.2">
      <c r="A18" s="6" t="s">
        <v>109</v>
      </c>
      <c r="B18" s="6" t="s">
        <v>101</v>
      </c>
      <c r="C18" s="7" t="s">
        <v>113</v>
      </c>
      <c r="D18" s="8" t="s">
        <v>114</v>
      </c>
      <c r="E18" s="6" t="s">
        <v>39</v>
      </c>
      <c r="F18" s="6" t="s">
        <v>75</v>
      </c>
      <c r="G18" s="6" t="s">
        <v>52</v>
      </c>
      <c r="H18" s="6" t="s">
        <v>80</v>
      </c>
      <c r="I18" s="6" t="s">
        <v>69</v>
      </c>
      <c r="J18" s="9" t="s">
        <v>44</v>
      </c>
      <c r="K18" s="8" t="s">
        <v>115</v>
      </c>
      <c r="L18" s="9"/>
      <c r="M18" s="10"/>
    </row>
    <row r="19" spans="1:13" ht="28" hidden="1" x14ac:dyDescent="0.2">
      <c r="A19" s="11" t="s">
        <v>116</v>
      </c>
      <c r="B19" s="11" t="s">
        <v>101</v>
      </c>
      <c r="C19" s="12" t="s">
        <v>117</v>
      </c>
      <c r="D19" s="13" t="s">
        <v>118</v>
      </c>
      <c r="E19" s="11" t="s">
        <v>39</v>
      </c>
      <c r="F19" s="11" t="s">
        <v>75</v>
      </c>
      <c r="G19" s="11" t="s">
        <v>52</v>
      </c>
      <c r="H19" s="11" t="s">
        <v>80</v>
      </c>
      <c r="I19" s="11" t="s">
        <v>69</v>
      </c>
      <c r="J19" s="9" t="s">
        <v>44</v>
      </c>
      <c r="K19" s="13" t="s">
        <v>119</v>
      </c>
      <c r="L19" s="9"/>
      <c r="M19" s="10"/>
    </row>
    <row r="20" spans="1:13" ht="56" hidden="1" x14ac:dyDescent="0.2">
      <c r="A20" s="6" t="s">
        <v>100</v>
      </c>
      <c r="B20" s="6" t="s">
        <v>101</v>
      </c>
      <c r="C20" s="7" t="s">
        <v>120</v>
      </c>
      <c r="D20" s="8" t="s">
        <v>121</v>
      </c>
      <c r="E20" s="6" t="s">
        <v>39</v>
      </c>
      <c r="F20" s="6" t="s">
        <v>67</v>
      </c>
      <c r="G20" s="6" t="s">
        <v>41</v>
      </c>
      <c r="H20" s="6" t="s">
        <v>68</v>
      </c>
      <c r="I20" s="6" t="s">
        <v>69</v>
      </c>
      <c r="J20" s="9" t="s">
        <v>44</v>
      </c>
      <c r="K20" s="8" t="s">
        <v>122</v>
      </c>
      <c r="L20" s="9"/>
      <c r="M20" s="10" t="s">
        <v>123</v>
      </c>
    </row>
    <row r="21" spans="1:13" ht="28" hidden="1" x14ac:dyDescent="0.2">
      <c r="A21" s="11" t="s">
        <v>124</v>
      </c>
      <c r="B21" s="11" t="s">
        <v>101</v>
      </c>
      <c r="C21" s="12" t="s">
        <v>125</v>
      </c>
      <c r="D21" s="13" t="s">
        <v>126</v>
      </c>
      <c r="E21" s="11" t="s">
        <v>39</v>
      </c>
      <c r="F21" s="11" t="s">
        <v>67</v>
      </c>
      <c r="G21" s="11" t="s">
        <v>41</v>
      </c>
      <c r="H21" s="11" t="s">
        <v>68</v>
      </c>
      <c r="I21" s="11" t="s">
        <v>69</v>
      </c>
      <c r="J21" s="9" t="s">
        <v>44</v>
      </c>
      <c r="K21" s="13" t="s">
        <v>127</v>
      </c>
      <c r="L21" s="9"/>
      <c r="M21" s="10"/>
    </row>
    <row r="22" spans="1:13" ht="56" hidden="1" x14ac:dyDescent="0.2">
      <c r="A22" s="6" t="s">
        <v>128</v>
      </c>
      <c r="B22" s="6" t="s">
        <v>101</v>
      </c>
      <c r="C22" s="7" t="s">
        <v>129</v>
      </c>
      <c r="D22" s="8" t="s">
        <v>130</v>
      </c>
      <c r="E22" s="6" t="s">
        <v>131</v>
      </c>
      <c r="F22" s="6" t="s">
        <v>132</v>
      </c>
      <c r="G22" s="6" t="s">
        <v>133</v>
      </c>
      <c r="H22" s="6" t="s">
        <v>42</v>
      </c>
      <c r="I22" s="6" t="s">
        <v>43</v>
      </c>
      <c r="J22" s="9" t="s">
        <v>44</v>
      </c>
      <c r="K22" s="8" t="s">
        <v>134</v>
      </c>
      <c r="L22" s="9"/>
      <c r="M22" s="10" t="s">
        <v>135</v>
      </c>
    </row>
    <row r="23" spans="1:13" ht="28" hidden="1" x14ac:dyDescent="0.2">
      <c r="A23" s="11" t="s">
        <v>136</v>
      </c>
      <c r="B23" s="11" t="s">
        <v>137</v>
      </c>
      <c r="C23" s="12" t="s">
        <v>138</v>
      </c>
      <c r="D23" s="13" t="s">
        <v>139</v>
      </c>
      <c r="E23" s="11" t="s">
        <v>74</v>
      </c>
      <c r="F23" s="11" t="s">
        <v>75</v>
      </c>
      <c r="G23" s="11" t="s">
        <v>52</v>
      </c>
      <c r="H23" s="11" t="s">
        <v>80</v>
      </c>
      <c r="I23" s="11" t="s">
        <v>69</v>
      </c>
      <c r="J23" s="9" t="s">
        <v>44</v>
      </c>
      <c r="K23" s="13" t="s">
        <v>140</v>
      </c>
      <c r="L23" s="9"/>
      <c r="M23" s="10"/>
    </row>
    <row r="24" spans="1:13" ht="28" hidden="1" x14ac:dyDescent="0.2">
      <c r="A24" s="6" t="s">
        <v>141</v>
      </c>
      <c r="B24" s="6" t="s">
        <v>137</v>
      </c>
      <c r="C24" s="7" t="s">
        <v>142</v>
      </c>
      <c r="D24" s="8" t="s">
        <v>143</v>
      </c>
      <c r="E24" s="6" t="s">
        <v>74</v>
      </c>
      <c r="F24" s="6" t="s">
        <v>75</v>
      </c>
      <c r="G24" s="6" t="s">
        <v>52</v>
      </c>
      <c r="H24" s="6" t="s">
        <v>80</v>
      </c>
      <c r="I24" s="6" t="s">
        <v>69</v>
      </c>
      <c r="J24" s="9" t="s">
        <v>44</v>
      </c>
      <c r="K24" s="8" t="s">
        <v>144</v>
      </c>
      <c r="L24" s="9"/>
      <c r="M24" s="10"/>
    </row>
    <row r="25" spans="1:13" ht="28" hidden="1" x14ac:dyDescent="0.2">
      <c r="A25" s="11" t="s">
        <v>145</v>
      </c>
      <c r="B25" s="11" t="s">
        <v>137</v>
      </c>
      <c r="C25" s="12" t="s">
        <v>146</v>
      </c>
      <c r="D25" s="13" t="s">
        <v>147</v>
      </c>
      <c r="E25" s="11" t="s">
        <v>74</v>
      </c>
      <c r="F25" s="11" t="s">
        <v>75</v>
      </c>
      <c r="G25" s="11" t="s">
        <v>41</v>
      </c>
      <c r="H25" s="11" t="s">
        <v>80</v>
      </c>
      <c r="I25" s="11" t="s">
        <v>69</v>
      </c>
      <c r="J25" s="9" t="s">
        <v>44</v>
      </c>
      <c r="K25" s="13" t="s">
        <v>148</v>
      </c>
      <c r="L25" s="9"/>
      <c r="M25" s="10"/>
    </row>
    <row r="26" spans="1:13" ht="28" hidden="1" x14ac:dyDescent="0.2">
      <c r="A26" s="6" t="s">
        <v>149</v>
      </c>
      <c r="B26" s="6" t="s">
        <v>150</v>
      </c>
      <c r="C26" s="7" t="s">
        <v>151</v>
      </c>
      <c r="D26" s="8" t="s">
        <v>152</v>
      </c>
      <c r="E26" s="6" t="s">
        <v>74</v>
      </c>
      <c r="F26" s="6" t="s">
        <v>67</v>
      </c>
      <c r="G26" s="6" t="s">
        <v>41</v>
      </c>
      <c r="H26" s="6" t="s">
        <v>68</v>
      </c>
      <c r="I26" s="6" t="s">
        <v>85</v>
      </c>
      <c r="J26" s="9" t="s">
        <v>44</v>
      </c>
      <c r="K26" s="8" t="s">
        <v>153</v>
      </c>
      <c r="L26" s="9"/>
      <c r="M26" s="10"/>
    </row>
    <row r="27" spans="1:13" ht="42" hidden="1" x14ac:dyDescent="0.2">
      <c r="A27" s="11" t="s">
        <v>154</v>
      </c>
      <c r="B27" s="11" t="s">
        <v>150</v>
      </c>
      <c r="C27" s="12" t="s">
        <v>155</v>
      </c>
      <c r="D27" s="13" t="s">
        <v>156</v>
      </c>
      <c r="E27" s="11" t="s">
        <v>74</v>
      </c>
      <c r="F27" s="11" t="s">
        <v>75</v>
      </c>
      <c r="G27" s="11" t="s">
        <v>52</v>
      </c>
      <c r="H27" s="11" t="s">
        <v>80</v>
      </c>
      <c r="I27" s="11" t="s">
        <v>69</v>
      </c>
      <c r="J27" s="9" t="s">
        <v>44</v>
      </c>
      <c r="K27" s="13" t="s">
        <v>157</v>
      </c>
      <c r="L27" s="9"/>
      <c r="M27" s="10" t="s">
        <v>158</v>
      </c>
    </row>
    <row r="28" spans="1:13" ht="28" x14ac:dyDescent="0.2">
      <c r="A28" s="6" t="s">
        <v>159</v>
      </c>
      <c r="B28" s="6" t="s">
        <v>150</v>
      </c>
      <c r="C28" s="7" t="s">
        <v>160</v>
      </c>
      <c r="D28" s="8" t="s">
        <v>161</v>
      </c>
      <c r="E28" s="6" t="s">
        <v>74</v>
      </c>
      <c r="F28" s="6" t="s">
        <v>40</v>
      </c>
      <c r="G28" s="6" t="s">
        <v>41</v>
      </c>
      <c r="H28" s="6" t="s">
        <v>68</v>
      </c>
      <c r="I28" s="6" t="s">
        <v>43</v>
      </c>
      <c r="J28" s="9" t="s">
        <v>44</v>
      </c>
      <c r="K28" s="8" t="s">
        <v>162</v>
      </c>
      <c r="L28" s="9"/>
      <c r="M28" s="10"/>
    </row>
    <row r="29" spans="1:13" hidden="1" x14ac:dyDescent="0.2">
      <c r="A29" s="11" t="s">
        <v>159</v>
      </c>
      <c r="B29" s="11" t="s">
        <v>150</v>
      </c>
      <c r="C29" s="12" t="s">
        <v>163</v>
      </c>
      <c r="D29" s="13" t="s">
        <v>164</v>
      </c>
      <c r="E29" s="11" t="s">
        <v>74</v>
      </c>
      <c r="F29" s="11" t="s">
        <v>75</v>
      </c>
      <c r="G29" s="11" t="s">
        <v>52</v>
      </c>
      <c r="H29" s="11" t="s">
        <v>80</v>
      </c>
      <c r="I29" s="11" t="s">
        <v>69</v>
      </c>
      <c r="J29" s="9" t="s">
        <v>44</v>
      </c>
      <c r="K29" s="13" t="s">
        <v>165</v>
      </c>
      <c r="L29" s="9"/>
      <c r="M29" s="10"/>
    </row>
    <row r="30" spans="1:13" ht="28" hidden="1" x14ac:dyDescent="0.2">
      <c r="A30" s="6" t="s">
        <v>166</v>
      </c>
      <c r="B30" s="6" t="s">
        <v>150</v>
      </c>
      <c r="C30" s="7" t="s">
        <v>167</v>
      </c>
      <c r="D30" s="8" t="s">
        <v>168</v>
      </c>
      <c r="E30" s="6" t="s">
        <v>74</v>
      </c>
      <c r="F30" s="6" t="s">
        <v>75</v>
      </c>
      <c r="G30" s="6" t="s">
        <v>52</v>
      </c>
      <c r="H30" s="6" t="s">
        <v>80</v>
      </c>
      <c r="I30" s="6" t="s">
        <v>69</v>
      </c>
      <c r="J30" s="9" t="s">
        <v>44</v>
      </c>
      <c r="K30" s="8" t="s">
        <v>169</v>
      </c>
      <c r="L30" s="9"/>
      <c r="M30" s="10"/>
    </row>
    <row r="31" spans="1:13" ht="28" hidden="1" x14ac:dyDescent="0.2">
      <c r="A31" s="11" t="s">
        <v>170</v>
      </c>
      <c r="B31" s="11" t="s">
        <v>150</v>
      </c>
      <c r="C31" s="12" t="s">
        <v>171</v>
      </c>
      <c r="D31" s="13" t="s">
        <v>172</v>
      </c>
      <c r="E31" s="11" t="s">
        <v>74</v>
      </c>
      <c r="F31" s="11" t="s">
        <v>75</v>
      </c>
      <c r="G31" s="11" t="s">
        <v>41</v>
      </c>
      <c r="H31" s="11" t="s">
        <v>80</v>
      </c>
      <c r="I31" s="11" t="s">
        <v>69</v>
      </c>
      <c r="J31" s="9" t="s">
        <v>44</v>
      </c>
      <c r="K31" s="13" t="s">
        <v>173</v>
      </c>
      <c r="L31" s="9"/>
      <c r="M31" s="10"/>
    </row>
    <row r="32" spans="1:13" ht="28" x14ac:dyDescent="0.2">
      <c r="A32" s="6" t="s">
        <v>174</v>
      </c>
      <c r="B32" s="6" t="s">
        <v>175</v>
      </c>
      <c r="C32" s="7" t="s">
        <v>176</v>
      </c>
      <c r="D32" s="8" t="s">
        <v>177</v>
      </c>
      <c r="E32" s="6" t="s">
        <v>74</v>
      </c>
      <c r="F32" s="6" t="s">
        <v>40</v>
      </c>
      <c r="G32" s="6" t="s">
        <v>41</v>
      </c>
      <c r="H32" s="6" t="s">
        <v>42</v>
      </c>
      <c r="I32" s="6" t="s">
        <v>43</v>
      </c>
      <c r="J32" s="9" t="s">
        <v>44</v>
      </c>
      <c r="K32" s="8" t="s">
        <v>178</v>
      </c>
      <c r="L32" s="9"/>
      <c r="M32" s="10"/>
    </row>
    <row r="33" spans="1:13" ht="28" x14ac:dyDescent="0.2">
      <c r="A33" s="11" t="s">
        <v>179</v>
      </c>
      <c r="B33" s="11" t="s">
        <v>175</v>
      </c>
      <c r="C33" s="12" t="s">
        <v>180</v>
      </c>
      <c r="D33" s="13" t="s">
        <v>181</v>
      </c>
      <c r="E33" s="11" t="s">
        <v>74</v>
      </c>
      <c r="F33" s="11" t="s">
        <v>40</v>
      </c>
      <c r="G33" s="11" t="s">
        <v>41</v>
      </c>
      <c r="H33" s="11" t="s">
        <v>42</v>
      </c>
      <c r="I33" s="11" t="s">
        <v>43</v>
      </c>
      <c r="J33" s="9" t="s">
        <v>44</v>
      </c>
      <c r="K33" s="13" t="s">
        <v>182</v>
      </c>
      <c r="L33" s="9"/>
      <c r="M33" s="10"/>
    </row>
    <row r="34" spans="1:13" ht="28" hidden="1" x14ac:dyDescent="0.2">
      <c r="A34" s="6" t="s">
        <v>183</v>
      </c>
      <c r="B34" s="6" t="s">
        <v>184</v>
      </c>
      <c r="C34" s="7" t="s">
        <v>185</v>
      </c>
      <c r="D34" s="8" t="s">
        <v>186</v>
      </c>
      <c r="E34" s="6" t="s">
        <v>74</v>
      </c>
      <c r="F34" s="6" t="s">
        <v>75</v>
      </c>
      <c r="G34" s="6" t="s">
        <v>41</v>
      </c>
      <c r="H34" s="6" t="s">
        <v>80</v>
      </c>
      <c r="I34" s="6" t="s">
        <v>69</v>
      </c>
      <c r="J34" s="9" t="s">
        <v>44</v>
      </c>
      <c r="K34" s="8" t="s">
        <v>187</v>
      </c>
      <c r="L34" s="9"/>
      <c r="M34" s="10"/>
    </row>
    <row r="35" spans="1:13" ht="28" hidden="1" x14ac:dyDescent="0.2">
      <c r="A35" s="11" t="s">
        <v>188</v>
      </c>
      <c r="B35" s="11" t="s">
        <v>184</v>
      </c>
      <c r="C35" s="12" t="s">
        <v>189</v>
      </c>
      <c r="D35" s="13" t="s">
        <v>190</v>
      </c>
      <c r="E35" s="11" t="s">
        <v>74</v>
      </c>
      <c r="F35" s="11" t="s">
        <v>75</v>
      </c>
      <c r="G35" s="11" t="s">
        <v>41</v>
      </c>
      <c r="H35" s="11" t="s">
        <v>80</v>
      </c>
      <c r="I35" s="11" t="s">
        <v>69</v>
      </c>
      <c r="J35" s="9" t="s">
        <v>44</v>
      </c>
      <c r="K35" s="13" t="s">
        <v>191</v>
      </c>
      <c r="L35" s="9"/>
      <c r="M35" s="10"/>
    </row>
    <row r="36" spans="1:13" ht="28" x14ac:dyDescent="0.2">
      <c r="A36" s="6" t="s">
        <v>192</v>
      </c>
      <c r="B36" s="6" t="s">
        <v>193</v>
      </c>
      <c r="C36" s="7" t="s">
        <v>194</v>
      </c>
      <c r="D36" s="8" t="s">
        <v>195</v>
      </c>
      <c r="E36" s="6" t="s">
        <v>39</v>
      </c>
      <c r="F36" s="6" t="s">
        <v>40</v>
      </c>
      <c r="G36" s="6" t="s">
        <v>52</v>
      </c>
      <c r="H36" s="6" t="s">
        <v>42</v>
      </c>
      <c r="I36" s="6" t="s">
        <v>43</v>
      </c>
      <c r="J36" s="9" t="s">
        <v>44</v>
      </c>
      <c r="K36" s="8" t="s">
        <v>196</v>
      </c>
      <c r="L36" s="9"/>
      <c r="M36" s="10"/>
    </row>
    <row r="37" spans="1:13" ht="28" x14ac:dyDescent="0.2">
      <c r="A37" s="11" t="s">
        <v>192</v>
      </c>
      <c r="B37" s="11" t="s">
        <v>193</v>
      </c>
      <c r="C37" s="12" t="s">
        <v>197</v>
      </c>
      <c r="D37" s="13" t="s">
        <v>198</v>
      </c>
      <c r="E37" s="11" t="s">
        <v>39</v>
      </c>
      <c r="F37" s="11" t="s">
        <v>40</v>
      </c>
      <c r="G37" s="11" t="s">
        <v>41</v>
      </c>
      <c r="H37" s="11" t="s">
        <v>42</v>
      </c>
      <c r="I37" s="11" t="s">
        <v>43</v>
      </c>
      <c r="J37" s="9" t="s">
        <v>44</v>
      </c>
      <c r="K37" s="13" t="s">
        <v>196</v>
      </c>
      <c r="L37" s="9"/>
      <c r="M37" s="10"/>
    </row>
    <row r="38" spans="1:13" hidden="1" x14ac:dyDescent="0.2">
      <c r="A38" s="6" t="s">
        <v>192</v>
      </c>
      <c r="B38" s="6" t="s">
        <v>193</v>
      </c>
      <c r="C38" s="7" t="s">
        <v>199</v>
      </c>
      <c r="D38" s="8" t="s">
        <v>200</v>
      </c>
      <c r="E38" s="6" t="s">
        <v>39</v>
      </c>
      <c r="F38" s="6" t="s">
        <v>67</v>
      </c>
      <c r="G38" s="6" t="s">
        <v>41</v>
      </c>
      <c r="H38" s="6" t="s">
        <v>68</v>
      </c>
      <c r="I38" s="6" t="s">
        <v>85</v>
      </c>
      <c r="J38" s="9" t="s">
        <v>44</v>
      </c>
      <c r="K38" s="8" t="s">
        <v>201</v>
      </c>
      <c r="L38" s="9"/>
      <c r="M38" s="10"/>
    </row>
    <row r="39" spans="1:13" ht="28" x14ac:dyDescent="0.2">
      <c r="A39" s="11" t="s">
        <v>192</v>
      </c>
      <c r="B39" s="11" t="s">
        <v>193</v>
      </c>
      <c r="C39" s="12" t="s">
        <v>202</v>
      </c>
      <c r="D39" s="13" t="s">
        <v>203</v>
      </c>
      <c r="E39" s="11" t="s">
        <v>39</v>
      </c>
      <c r="F39" s="11" t="s">
        <v>40</v>
      </c>
      <c r="G39" s="11" t="s">
        <v>41</v>
      </c>
      <c r="H39" s="11" t="s">
        <v>68</v>
      </c>
      <c r="I39" s="11" t="s">
        <v>43</v>
      </c>
      <c r="J39" s="9" t="s">
        <v>44</v>
      </c>
      <c r="K39" s="13" t="s">
        <v>204</v>
      </c>
      <c r="L39" s="9"/>
      <c r="M39" s="10"/>
    </row>
    <row r="40" spans="1:13" ht="28" hidden="1" x14ac:dyDescent="0.2">
      <c r="A40" s="6" t="s">
        <v>192</v>
      </c>
      <c r="B40" s="6" t="s">
        <v>193</v>
      </c>
      <c r="C40" s="7" t="s">
        <v>205</v>
      </c>
      <c r="D40" s="8" t="s">
        <v>206</v>
      </c>
      <c r="E40" s="6" t="s">
        <v>39</v>
      </c>
      <c r="F40" s="6" t="s">
        <v>75</v>
      </c>
      <c r="G40" s="6" t="s">
        <v>41</v>
      </c>
      <c r="H40" s="6" t="s">
        <v>80</v>
      </c>
      <c r="I40" s="6" t="s">
        <v>69</v>
      </c>
      <c r="J40" s="9" t="s">
        <v>44</v>
      </c>
      <c r="K40" s="8" t="s">
        <v>207</v>
      </c>
      <c r="L40" s="9"/>
      <c r="M40" s="10"/>
    </row>
    <row r="41" spans="1:13" ht="28" x14ac:dyDescent="0.2">
      <c r="A41" s="11" t="s">
        <v>208</v>
      </c>
      <c r="B41" s="11" t="s">
        <v>193</v>
      </c>
      <c r="C41" s="12" t="s">
        <v>209</v>
      </c>
      <c r="D41" s="13" t="s">
        <v>210</v>
      </c>
      <c r="E41" s="11" t="s">
        <v>39</v>
      </c>
      <c r="F41" s="11" t="s">
        <v>40</v>
      </c>
      <c r="G41" s="11" t="s">
        <v>41</v>
      </c>
      <c r="H41" s="11" t="s">
        <v>68</v>
      </c>
      <c r="I41" s="11" t="s">
        <v>43</v>
      </c>
      <c r="J41" s="9" t="s">
        <v>44</v>
      </c>
      <c r="K41" s="13" t="s">
        <v>211</v>
      </c>
      <c r="L41" s="9"/>
      <c r="M41" s="10"/>
    </row>
    <row r="42" spans="1:13" x14ac:dyDescent="0.2">
      <c r="A42" s="6" t="s">
        <v>212</v>
      </c>
      <c r="B42" s="6" t="s">
        <v>213</v>
      </c>
      <c r="C42" s="7" t="s">
        <v>214</v>
      </c>
      <c r="D42" s="8" t="s">
        <v>215</v>
      </c>
      <c r="E42" s="6" t="s">
        <v>39</v>
      </c>
      <c r="F42" s="6" t="s">
        <v>40</v>
      </c>
      <c r="G42" s="6" t="s">
        <v>216</v>
      </c>
      <c r="H42" s="6" t="s">
        <v>68</v>
      </c>
      <c r="I42" s="6" t="s">
        <v>43</v>
      </c>
      <c r="J42" s="9" t="s">
        <v>44</v>
      </c>
      <c r="K42" s="8" t="s">
        <v>211</v>
      </c>
      <c r="L42" s="9"/>
      <c r="M42" s="10"/>
    </row>
    <row r="43" spans="1:13" ht="28" x14ac:dyDescent="0.2">
      <c r="A43" s="11" t="s">
        <v>57</v>
      </c>
      <c r="B43" s="11" t="s">
        <v>213</v>
      </c>
      <c r="C43" s="12" t="s">
        <v>217</v>
      </c>
      <c r="D43" s="13" t="s">
        <v>218</v>
      </c>
      <c r="E43" s="11" t="s">
        <v>39</v>
      </c>
      <c r="F43" s="11" t="s">
        <v>40</v>
      </c>
      <c r="G43" s="11" t="s">
        <v>41</v>
      </c>
      <c r="H43" s="11" t="s">
        <v>68</v>
      </c>
      <c r="I43" s="11" t="s">
        <v>85</v>
      </c>
      <c r="J43" s="9" t="s">
        <v>44</v>
      </c>
      <c r="K43" s="13" t="s">
        <v>219</v>
      </c>
      <c r="L43" s="9"/>
      <c r="M43" s="10"/>
    </row>
    <row r="44" spans="1:13" hidden="1" x14ac:dyDescent="0.2">
      <c r="A44" s="6" t="s">
        <v>220</v>
      </c>
      <c r="B44" s="6" t="s">
        <v>213</v>
      </c>
      <c r="C44" s="7" t="s">
        <v>221</v>
      </c>
      <c r="D44" s="8" t="s">
        <v>222</v>
      </c>
      <c r="E44" s="6" t="s">
        <v>39</v>
      </c>
      <c r="F44" s="6" t="s">
        <v>75</v>
      </c>
      <c r="G44" s="6" t="s">
        <v>52</v>
      </c>
      <c r="H44" s="6" t="s">
        <v>80</v>
      </c>
      <c r="I44" s="6" t="s">
        <v>69</v>
      </c>
      <c r="J44" s="9" t="s">
        <v>44</v>
      </c>
      <c r="K44" s="8" t="s">
        <v>223</v>
      </c>
      <c r="L44" s="9"/>
      <c r="M44" s="10"/>
    </row>
    <row r="45" spans="1:13" hidden="1" x14ac:dyDescent="0.2">
      <c r="A45" s="11" t="s">
        <v>224</v>
      </c>
      <c r="B45" s="11" t="s">
        <v>213</v>
      </c>
      <c r="C45" s="12" t="s">
        <v>225</v>
      </c>
      <c r="D45" s="13" t="s">
        <v>226</v>
      </c>
      <c r="E45" s="11" t="s">
        <v>39</v>
      </c>
      <c r="F45" s="11" t="s">
        <v>227</v>
      </c>
      <c r="G45" s="11" t="s">
        <v>52</v>
      </c>
      <c r="H45" s="11" t="s">
        <v>80</v>
      </c>
      <c r="I45" s="11" t="s">
        <v>69</v>
      </c>
      <c r="J45" s="9" t="s">
        <v>44</v>
      </c>
      <c r="K45" s="13" t="s">
        <v>228</v>
      </c>
      <c r="L45" s="9"/>
      <c r="M45" s="10"/>
    </row>
    <row r="46" spans="1:13" x14ac:dyDescent="0.2">
      <c r="A46" s="6" t="s">
        <v>229</v>
      </c>
      <c r="B46" s="6" t="s">
        <v>230</v>
      </c>
      <c r="C46" s="7" t="s">
        <v>231</v>
      </c>
      <c r="D46" s="8" t="s">
        <v>232</v>
      </c>
      <c r="E46" s="6" t="s">
        <v>39</v>
      </c>
      <c r="F46" s="6" t="s">
        <v>40</v>
      </c>
      <c r="G46" s="6" t="s">
        <v>216</v>
      </c>
      <c r="H46" s="6" t="s">
        <v>42</v>
      </c>
      <c r="I46" s="6" t="s">
        <v>43</v>
      </c>
      <c r="J46" s="9" t="s">
        <v>44</v>
      </c>
      <c r="K46" s="8" t="s">
        <v>233</v>
      </c>
      <c r="L46" s="9"/>
      <c r="M46" s="10"/>
    </row>
    <row r="47" spans="1:13" ht="28" hidden="1" x14ac:dyDescent="0.2">
      <c r="A47" s="11" t="s">
        <v>229</v>
      </c>
      <c r="B47" s="11" t="s">
        <v>230</v>
      </c>
      <c r="C47" s="12" t="s">
        <v>234</v>
      </c>
      <c r="D47" s="13" t="s">
        <v>235</v>
      </c>
      <c r="E47" s="11" t="s">
        <v>39</v>
      </c>
      <c r="F47" s="11" t="s">
        <v>67</v>
      </c>
      <c r="G47" s="11" t="s">
        <v>216</v>
      </c>
      <c r="H47" s="11" t="s">
        <v>68</v>
      </c>
      <c r="I47" s="11" t="s">
        <v>69</v>
      </c>
      <c r="J47" s="9" t="s">
        <v>44</v>
      </c>
      <c r="K47" s="13" t="s">
        <v>236</v>
      </c>
      <c r="L47" s="9"/>
      <c r="M47" s="10"/>
    </row>
    <row r="48" spans="1:13" ht="28" hidden="1" x14ac:dyDescent="0.2">
      <c r="A48" s="6" t="s">
        <v>229</v>
      </c>
      <c r="B48" s="6" t="s">
        <v>230</v>
      </c>
      <c r="C48" s="7" t="s">
        <v>237</v>
      </c>
      <c r="D48" s="8" t="s">
        <v>238</v>
      </c>
      <c r="E48" s="6" t="s">
        <v>39</v>
      </c>
      <c r="F48" s="6" t="s">
        <v>75</v>
      </c>
      <c r="G48" s="6" t="s">
        <v>216</v>
      </c>
      <c r="H48" s="6" t="s">
        <v>80</v>
      </c>
      <c r="I48" s="6" t="s">
        <v>69</v>
      </c>
      <c r="J48" s="9" t="s">
        <v>44</v>
      </c>
      <c r="K48" s="8" t="s">
        <v>239</v>
      </c>
      <c r="L48" s="9"/>
      <c r="M48" s="10"/>
    </row>
    <row r="49" spans="1:13" x14ac:dyDescent="0.2">
      <c r="A49" s="11" t="s">
        <v>240</v>
      </c>
      <c r="B49" s="11" t="s">
        <v>230</v>
      </c>
      <c r="C49" s="12" t="s">
        <v>241</v>
      </c>
      <c r="D49" s="13" t="s">
        <v>242</v>
      </c>
      <c r="E49" s="11" t="s">
        <v>39</v>
      </c>
      <c r="F49" s="11" t="s">
        <v>40</v>
      </c>
      <c r="G49" s="11" t="s">
        <v>216</v>
      </c>
      <c r="H49" s="11" t="s">
        <v>68</v>
      </c>
      <c r="I49" s="11" t="s">
        <v>43</v>
      </c>
      <c r="J49" s="9" t="s">
        <v>44</v>
      </c>
      <c r="K49" s="13" t="s">
        <v>243</v>
      </c>
      <c r="L49" s="9"/>
      <c r="M49" s="10"/>
    </row>
    <row r="50" spans="1:13" ht="28" hidden="1" x14ac:dyDescent="0.2">
      <c r="A50" s="6" t="s">
        <v>224</v>
      </c>
      <c r="B50" s="6" t="s">
        <v>150</v>
      </c>
      <c r="C50" s="7" t="s">
        <v>244</v>
      </c>
      <c r="D50" s="8" t="s">
        <v>245</v>
      </c>
      <c r="E50" s="6" t="s">
        <v>39</v>
      </c>
      <c r="F50" s="6" t="s">
        <v>227</v>
      </c>
      <c r="G50" s="6" t="s">
        <v>52</v>
      </c>
      <c r="H50" s="6" t="s">
        <v>80</v>
      </c>
      <c r="I50" s="6" t="s">
        <v>69</v>
      </c>
      <c r="J50" s="9" t="s">
        <v>44</v>
      </c>
      <c r="K50" s="8" t="s">
        <v>246</v>
      </c>
      <c r="L50" s="9"/>
      <c r="M50" s="10"/>
    </row>
    <row r="51" spans="1:13" ht="28" hidden="1" x14ac:dyDescent="0.2">
      <c r="A51" s="11" t="s">
        <v>224</v>
      </c>
      <c r="B51" s="11" t="s">
        <v>193</v>
      </c>
      <c r="C51" s="12" t="s">
        <v>247</v>
      </c>
      <c r="D51" s="13" t="s">
        <v>248</v>
      </c>
      <c r="E51" s="11" t="s">
        <v>39</v>
      </c>
      <c r="F51" s="11" t="s">
        <v>227</v>
      </c>
      <c r="G51" s="11" t="s">
        <v>52</v>
      </c>
      <c r="H51" s="11" t="s">
        <v>80</v>
      </c>
      <c r="I51" s="11" t="s">
        <v>69</v>
      </c>
      <c r="J51" s="9" t="s">
        <v>44</v>
      </c>
      <c r="K51" s="13" t="s">
        <v>249</v>
      </c>
      <c r="L51" s="9"/>
      <c r="M51" s="10"/>
    </row>
    <row r="52" spans="1:13" hidden="1" x14ac:dyDescent="0.2">
      <c r="A52" s="6" t="s">
        <v>224</v>
      </c>
      <c r="B52" s="6" t="s">
        <v>193</v>
      </c>
      <c r="C52" s="7" t="s">
        <v>250</v>
      </c>
      <c r="D52" s="8" t="s">
        <v>251</v>
      </c>
      <c r="E52" s="6" t="s">
        <v>39</v>
      </c>
      <c r="F52" s="6" t="s">
        <v>227</v>
      </c>
      <c r="G52" s="6" t="s">
        <v>41</v>
      </c>
      <c r="H52" s="6" t="s">
        <v>80</v>
      </c>
      <c r="I52" s="6" t="s">
        <v>69</v>
      </c>
      <c r="J52" s="9" t="s">
        <v>44</v>
      </c>
      <c r="K52" s="8" t="s">
        <v>252</v>
      </c>
      <c r="L52" s="9"/>
      <c r="M52" s="10"/>
    </row>
  </sheetData>
  <autoFilter ref="A1:M52" xr:uid="{00000000-0009-0000-0000-000001000000}">
    <filterColumn colId="5">
      <filters>
        <filter val="Phase 1"/>
      </filters>
    </filterColumn>
  </autoFilter>
  <conditionalFormatting sqref="I2:I52">
    <cfRule type="cellIs" dxfId="6" priority="1" operator="equal">
      <formula>"Yes"</formula>
    </cfRule>
    <cfRule type="cellIs" dxfId="5" priority="2" operator="equal">
      <formula>"Consider"</formula>
    </cfRule>
    <cfRule type="cellIs" dxfId="4" priority="3" operator="equal">
      <formula>"No"</formula>
    </cfRule>
  </conditionalFormatting>
  <conditionalFormatting sqref="J2:J52">
    <cfRule type="cellIs" dxfId="3" priority="4" operator="equal">
      <formula>"Approved for Phase 1"</formula>
    </cfRule>
    <cfRule type="cellIs" dxfId="2" priority="5" operator="equal">
      <formula>"Deferred to later phase"</formula>
    </cfRule>
    <cfRule type="cellIs" dxfId="1" priority="6" operator="equal">
      <formula>"Out of scope"</formula>
    </cfRule>
    <cfRule type="cellIs" dxfId="0" priority="7" operator="equal">
      <formula>"Needs discussion"</formula>
    </cfRule>
  </conditionalFormatting>
  <dataValidations count="3">
    <dataValidation type="list" allowBlank="1" sqref="H2:H52" xr:uid="{00000000-0002-0000-0100-000000000000}">
      <formula1>"Must,Should,Could"</formula1>
    </dataValidation>
    <dataValidation type="list" allowBlank="1" sqref="I2:I52" xr:uid="{00000000-0002-0000-0100-000001000000}">
      <formula1>"Yes,Consider,No"</formula1>
    </dataValidation>
    <dataValidation type="list" allowBlank="1" sqref="J2:J52" xr:uid="{00000000-0002-0000-0100-000002000000}">
      <formula1>"Approved for Phase 1,Deferred to later phase,Out of scope,Needs discussion,TBD"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29"/>
  <sheetViews>
    <sheetView showGridLines="0" workbookViewId="0"/>
  </sheetViews>
  <sheetFormatPr baseColWidth="10" defaultColWidth="8.83203125" defaultRowHeight="15" x14ac:dyDescent="0.2"/>
  <cols>
    <col min="1" max="1" width="2" customWidth="1"/>
    <col min="2" max="2" width="30" customWidth="1"/>
    <col min="3" max="3" width="14" customWidth="1"/>
    <col min="4" max="4" width="16" customWidth="1"/>
  </cols>
  <sheetData>
    <row r="2" spans="2:4" ht="20" x14ac:dyDescent="0.2">
      <c r="B2" s="14" t="s">
        <v>253</v>
      </c>
    </row>
    <row r="3" spans="2:4" x14ac:dyDescent="0.2">
      <c r="B3" s="2" t="s">
        <v>254</v>
      </c>
    </row>
    <row r="5" spans="2:4" x14ac:dyDescent="0.2">
      <c r="B5" s="15" t="s">
        <v>255</v>
      </c>
      <c r="D5" s="4">
        <f>COUNTA('Feature Checklist'!$C$2:$C$52)</f>
        <v>51</v>
      </c>
    </row>
    <row r="7" spans="2:4" ht="16" x14ac:dyDescent="0.2">
      <c r="B7" s="16" t="s">
        <v>256</v>
      </c>
    </row>
    <row r="8" spans="2:4" x14ac:dyDescent="0.2">
      <c r="B8" s="17" t="s">
        <v>257</v>
      </c>
      <c r="D8" s="4">
        <f>COUNTIF('Feature Checklist'!$I$2:$I$52,"Yes")</f>
        <v>17</v>
      </c>
    </row>
    <row r="9" spans="2:4" x14ac:dyDescent="0.2">
      <c r="B9" s="17" t="s">
        <v>258</v>
      </c>
      <c r="D9" s="4">
        <f>COUNTIF('Feature Checklist'!$I$2:$I$52,"Consider")</f>
        <v>7</v>
      </c>
    </row>
    <row r="10" spans="2:4" x14ac:dyDescent="0.2">
      <c r="B10" s="17" t="s">
        <v>259</v>
      </c>
      <c r="D10" s="4">
        <f>COUNTIF('Feature Checklist'!$I$2:$I$52,"No")</f>
        <v>27</v>
      </c>
    </row>
    <row r="12" spans="2:4" ht="16" x14ac:dyDescent="0.2">
      <c r="B12" s="16" t="s">
        <v>260</v>
      </c>
    </row>
    <row r="13" spans="2:4" x14ac:dyDescent="0.2">
      <c r="B13" s="17" t="s">
        <v>261</v>
      </c>
      <c r="D13" s="4">
        <f>COUNTIF('Feature Checklist'!$J$2:$J$52,"Approved for Phase 1")</f>
        <v>0</v>
      </c>
    </row>
    <row r="14" spans="2:4" x14ac:dyDescent="0.2">
      <c r="B14" s="17" t="s">
        <v>262</v>
      </c>
      <c r="D14" s="4">
        <f>COUNTIF('Feature Checklist'!$J$2:$J$52,"Deferred to later phase")</f>
        <v>0</v>
      </c>
    </row>
    <row r="15" spans="2:4" x14ac:dyDescent="0.2">
      <c r="B15" s="17" t="s">
        <v>263</v>
      </c>
      <c r="D15" s="4">
        <f>COUNTIF('Feature Checklist'!$J$2:$J$52,"Out of scope")</f>
        <v>0</v>
      </c>
    </row>
    <row r="16" spans="2:4" x14ac:dyDescent="0.2">
      <c r="B16" s="17" t="s">
        <v>264</v>
      </c>
      <c r="D16" s="4">
        <f>COUNTIF('Feature Checklist'!$J$2:$J$52,"Needs discussion")</f>
        <v>0</v>
      </c>
    </row>
    <row r="17" spans="2:4" x14ac:dyDescent="0.2">
      <c r="B17" s="17" t="s">
        <v>44</v>
      </c>
      <c r="D17" s="4">
        <f>COUNTIF('Feature Checklist'!$J$2:$J$52,"TBD")</f>
        <v>51</v>
      </c>
    </row>
    <row r="19" spans="2:4" ht="16" x14ac:dyDescent="0.2">
      <c r="B19" s="16" t="s">
        <v>265</v>
      </c>
    </row>
    <row r="20" spans="2:4" x14ac:dyDescent="0.2">
      <c r="B20" s="15" t="s">
        <v>12</v>
      </c>
      <c r="C20" s="15" t="s">
        <v>266</v>
      </c>
      <c r="D20" s="15" t="s">
        <v>267</v>
      </c>
    </row>
    <row r="21" spans="2:4" x14ac:dyDescent="0.2">
      <c r="B21" s="17" t="s">
        <v>36</v>
      </c>
      <c r="C21" s="4">
        <f>COUNTIF('Feature Checklist'!$B$2:$B$52,"M1 · Collections Engine")</f>
        <v>13</v>
      </c>
      <c r="D21" s="4">
        <f>COUNTIFS('Feature Checklist'!$B$2:$B$52,"M1 · Collections Engine",'Feature Checklist'!$J$2:$J$52,"Approved for Phase 1")</f>
        <v>0</v>
      </c>
    </row>
    <row r="22" spans="2:4" x14ac:dyDescent="0.2">
      <c r="B22" s="17" t="s">
        <v>101</v>
      </c>
      <c r="C22" s="4">
        <f>COUNTIF('Feature Checklist'!$B$2:$B$52,"M2 · Early Payment Network")</f>
        <v>8</v>
      </c>
      <c r="D22" s="4">
        <f>COUNTIFS('Feature Checklist'!$B$2:$B$52,"M2 · Early Payment Network",'Feature Checklist'!$J$2:$J$52,"Approved for Phase 1")</f>
        <v>0</v>
      </c>
    </row>
    <row r="23" spans="2:4" x14ac:dyDescent="0.2">
      <c r="B23" s="17" t="s">
        <v>137</v>
      </c>
      <c r="C23" s="4">
        <f>COUNTIF('Feature Checklist'!$B$2:$B$52,"M3 · Credit Management")</f>
        <v>3</v>
      </c>
      <c r="D23" s="4">
        <f>COUNTIFS('Feature Checklist'!$B$2:$B$52,"M3 · Credit Management",'Feature Checklist'!$J$2:$J$52,"Approved for Phase 1")</f>
        <v>0</v>
      </c>
    </row>
    <row r="24" spans="2:4" x14ac:dyDescent="0.2">
      <c r="B24" s="17" t="s">
        <v>150</v>
      </c>
      <c r="C24" s="4">
        <f>COUNTIF('Feature Checklist'!$B$2:$B$52,"M4 · AI Intelligence Layer")</f>
        <v>7</v>
      </c>
      <c r="D24" s="4">
        <f>COUNTIFS('Feature Checklist'!$B$2:$B$52,"M4 · AI Intelligence Layer",'Feature Checklist'!$J$2:$J$52,"Approved for Phase 1")</f>
        <v>0</v>
      </c>
    </row>
    <row r="25" spans="2:4" x14ac:dyDescent="0.2">
      <c r="B25" s="17" t="s">
        <v>175</v>
      </c>
      <c r="C25" s="4">
        <f>COUNTIF('Feature Checklist'!$B$2:$B$52,"M5 · Compliance &amp; Audit")</f>
        <v>2</v>
      </c>
      <c r="D25" s="4">
        <f>COUNTIFS('Feature Checklist'!$B$2:$B$52,"M5 · Compliance &amp; Audit",'Feature Checklist'!$J$2:$J$52,"Approved for Phase 1")</f>
        <v>0</v>
      </c>
    </row>
    <row r="26" spans="2:4" x14ac:dyDescent="0.2">
      <c r="B26" s="17" t="s">
        <v>184</v>
      </c>
      <c r="C26" s="4">
        <f>COUNTIF('Feature Checklist'!$B$2:$B$52,"M6 · Collector Management")</f>
        <v>2</v>
      </c>
      <c r="D26" s="4">
        <f>COUNTIFS('Feature Checklist'!$B$2:$B$52,"M6 · Collector Management",'Feature Checklist'!$J$2:$J$52,"Approved for Phase 1")</f>
        <v>0</v>
      </c>
    </row>
    <row r="27" spans="2:4" x14ac:dyDescent="0.2">
      <c r="B27" s="17" t="s">
        <v>193</v>
      </c>
      <c r="C27" s="4">
        <f>COUNTIF('Feature Checklist'!$B$2:$B$52,"Platform &amp; Integration")</f>
        <v>8</v>
      </c>
      <c r="D27" s="4">
        <f>COUNTIFS('Feature Checklist'!$B$2:$B$52,"Platform &amp; Integration",'Feature Checklist'!$J$2:$J$52,"Approved for Phase 1")</f>
        <v>0</v>
      </c>
    </row>
    <row r="28" spans="2:4" x14ac:dyDescent="0.2">
      <c r="B28" s="17" t="s">
        <v>213</v>
      </c>
      <c r="C28" s="4">
        <f>COUNTIF('Feature Checklist'!$B$2:$B$52,"Analytics &amp; Dashboards")</f>
        <v>4</v>
      </c>
      <c r="D28" s="4">
        <f>COUNTIFS('Feature Checklist'!$B$2:$B$52,"Analytics &amp; Dashboards",'Feature Checklist'!$J$2:$J$52,"Approved for Phase 1")</f>
        <v>0</v>
      </c>
    </row>
    <row r="29" spans="2:4" x14ac:dyDescent="0.2">
      <c r="B29" s="17" t="s">
        <v>230</v>
      </c>
      <c r="C29" s="4">
        <f>COUNTIF('Feature Checklist'!$B$2:$B$52,"Commercial &amp; Packaging")</f>
        <v>4</v>
      </c>
      <c r="D29" s="4">
        <f>COUNTIFS('Feature Checklist'!$B$2:$B$52,"Commercial &amp; Packaging",'Feature Checklist'!$J$2:$J$52,"Approved for Phase 1")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How to Use</vt:lpstr>
      <vt:lpstr>Feature Checklist</vt:lpstr>
      <vt:lpstr>Phase 1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 Agarwal</cp:lastModifiedBy>
  <dcterms:created xsi:type="dcterms:W3CDTF">2026-08-10T09:23:06Z</dcterms:created>
  <dcterms:modified xsi:type="dcterms:W3CDTF">2026-08-11T19:32:15Z</dcterms:modified>
</cp:coreProperties>
</file>